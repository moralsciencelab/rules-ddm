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Engelmann\Dropbox\active projects\modelling textualism\05 - varying proportion of congruency trials\"/>
    </mc:Choice>
  </mc:AlternateContent>
  <xr:revisionPtr revIDLastSave="0" documentId="13_ncr:1_{E3B1659F-F79E-4681-85A7-1ADCEDD90F98}" xr6:coauthVersionLast="36" xr6:coauthVersionMax="36" xr10:uidLastSave="{00000000-0000-0000-0000-000000000000}"/>
  <bookViews>
    <workbookView xWindow="0" yWindow="0" windowWidth="30720" windowHeight="13380" activeTab="3" xr2:uid="{00000000-000D-0000-FFFF-FFFF00000000}"/>
  </bookViews>
  <sheets>
    <sheet name="casesDDM" sheetId="1" r:id="rId1"/>
    <sheet name="Tabellenblatt2" sheetId="2" r:id="rId2"/>
    <sheet name="Tabellenblatt1" sheetId="3" r:id="rId3"/>
    <sheet name="varying proportions" sheetId="4" r:id="rId4"/>
    <sheet name="Tabellenblatt4" sheetId="5" r:id="rId5"/>
  </sheets>
  <calcPr calcId="191029"/>
</workbook>
</file>

<file path=xl/calcChain.xml><?xml version="1.0" encoding="utf-8"?>
<calcChain xmlns="http://schemas.openxmlformats.org/spreadsheetml/2006/main">
  <c r="E161" i="4" l="1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105" i="1"/>
  <c r="H105" i="1"/>
  <c r="I104" i="1"/>
  <c r="H104" i="1"/>
  <c r="I103" i="1"/>
  <c r="H103" i="1"/>
  <c r="I102" i="1"/>
  <c r="H102" i="1"/>
  <c r="I101" i="1"/>
  <c r="H101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G103" i="1" s="1"/>
  <c r="F19" i="1"/>
  <c r="F18" i="1"/>
  <c r="F17" i="1"/>
  <c r="G105" i="1" s="1"/>
  <c r="F16" i="1"/>
  <c r="F15" i="1"/>
  <c r="F14" i="1"/>
  <c r="G104" i="1" s="1"/>
  <c r="F13" i="1"/>
  <c r="F12" i="1"/>
  <c r="F11" i="1"/>
  <c r="F103" i="1" s="1"/>
  <c r="F10" i="1"/>
  <c r="F9" i="1"/>
  <c r="F8" i="1"/>
  <c r="F7" i="1"/>
  <c r="F6" i="1"/>
  <c r="F5" i="1"/>
  <c r="F4" i="1"/>
  <c r="F3" i="1"/>
  <c r="F2" i="1"/>
  <c r="G102" i="1" s="1"/>
  <c r="D5" i="5" l="1"/>
  <c r="D3" i="5"/>
  <c r="D4" i="5"/>
  <c r="D2" i="5"/>
  <c r="F101" i="1"/>
  <c r="G101" i="1"/>
  <c r="F105" i="1"/>
  <c r="F104" i="1"/>
  <c r="F102" i="1"/>
  <c r="C2" i="5"/>
  <c r="C3" i="5"/>
  <c r="C4" i="5"/>
  <c r="C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2" authorId="0" shapeId="0" xr:uid="{00000000-0006-0000-0000-000001000000}">
      <text>
        <r>
          <rPr>
            <sz val="10"/>
            <color rgb="FF000000"/>
            <rFont val="Arial"/>
            <scheme val="minor"/>
          </rPr>
          <t>"outside the home" may be ambiguous? physically outside of the smith's house vs. not a member of their household
	-neele engelmann</t>
        </r>
      </text>
    </comment>
  </commentList>
</comments>
</file>

<file path=xl/sharedStrings.xml><?xml version="1.0" encoding="utf-8"?>
<sst xmlns="http://schemas.openxmlformats.org/spreadsheetml/2006/main" count="2015" uniqueCount="308">
  <si>
    <t>scen</t>
  </si>
  <si>
    <t>origin</t>
  </si>
  <si>
    <t>rule</t>
  </si>
  <si>
    <t>condition</t>
  </si>
  <si>
    <t>question</t>
  </si>
  <si>
    <t>character count</t>
  </si>
  <si>
    <t>prob(yes)</t>
  </si>
  <si>
    <t>medianRT</t>
  </si>
  <si>
    <t>shoe</t>
  </si>
  <si>
    <t>A friend entered Mary's house wearing shoes and dirtied the carpets.</t>
  </si>
  <si>
    <t>To keep her house clean, Mary established the rule: "No one may wear shoes in the house".</t>
  </si>
  <si>
    <t>core</t>
  </si>
  <si>
    <t>A guest wears stilettos and the carpets get pretty dirty.</t>
  </si>
  <si>
    <t>A guest wears wet deck shoes and dirties the floors.</t>
  </si>
  <si>
    <t>A guest wears muddy sneakers and dirties the carpets.</t>
  </si>
  <si>
    <t>over</t>
  </si>
  <si>
    <t>A guest wears brand new shoes and keeps the floor clean.</t>
  </si>
  <si>
    <t>A guest wears clean stilettos and keeps the carpet clean.</t>
  </si>
  <si>
    <t>A guest wears his new sneakers and the floor stays clean.</t>
  </si>
  <si>
    <t>under</t>
  </si>
  <si>
    <t>A guest walks around barefoot and dirties the carpets.</t>
  </si>
  <si>
    <t>A guest walks in with muddy socks and dirties the floor.</t>
  </si>
  <si>
    <t>A barefoot guest has a bleeding toe and stains the carpets.</t>
  </si>
  <si>
    <t>off</t>
  </si>
  <si>
    <t>A guest walks around barefoot and keeps the carpet clean.</t>
  </si>
  <si>
    <t>A guest walks around in socks and keeps the floor clean.</t>
  </si>
  <si>
    <t>A guest walks around barefoot and the floor stays clean.</t>
  </si>
  <si>
    <t>cars</t>
  </si>
  <si>
    <t>At the local park, a tragic accident took place involving a pedestrian and a car.</t>
  </si>
  <si>
    <t>To avoid accidents, the local authority issued a rule: "No cars are allowed inside the park".</t>
  </si>
  <si>
    <t>An artist installs a race car in the park to honor local heroes.</t>
  </si>
  <si>
    <t>A landscaper parks a truck in the park to remove a tree.</t>
  </si>
  <si>
    <t>A man drives a tow-truck slowly into the park to remove a car.</t>
  </si>
  <si>
    <t>A person speeds through the park in their electric scooter.</t>
  </si>
  <si>
    <t>A motorcycle courier takes a shortcut through the park.</t>
  </si>
  <si>
    <t>A group of friends cycle through the park on a beer bike.</t>
  </si>
  <si>
    <t>A person jogs through the park to get some daily exercise.</t>
  </si>
  <si>
    <t>A couple walk their new baby through the park in a stroller.</t>
  </si>
  <si>
    <t>A landscaper pushes a grey wheelbarrow through the park.</t>
  </si>
  <si>
    <t>A person test-drives their new car through the park at noon.</t>
  </si>
  <si>
    <t>A taxi driver takes a shortcut through the park to save time.</t>
  </si>
  <si>
    <t>A red party limo drives through the park at the DJ's request.</t>
  </si>
  <si>
    <t>slee</t>
  </si>
  <si>
    <t>A group of vagrants often slept on the benches of the local train station.</t>
  </si>
  <si>
    <t>To avoid people spending the night at the train station, the manager posted a rule: "No sleeping allowed on the benches".</t>
  </si>
  <si>
    <t>A vagrant spends the whole night on a bench but does not sleep.</t>
  </si>
  <si>
    <t>A vagrant spends the night sleeping on the station floor.</t>
  </si>
  <si>
    <t>A backpacker spends the night sleeping behind a station bench.</t>
  </si>
  <si>
    <t>A businesswoman enters the station and buys her train ticket.</t>
  </si>
  <si>
    <t>A commuter sits on a station bench while waiting for her train.</t>
  </si>
  <si>
    <t>A backpacker looks for her lost phone on the station platform.</t>
  </si>
  <si>
    <t>A vagrant spends the night sleeping on a bench at the station.</t>
  </si>
  <si>
    <t>A backpacker spends the night sleeping on a station bench.</t>
  </si>
  <si>
    <t>A nightclub dancer falls asleep on a station bench after work.</t>
  </si>
  <si>
    <t>A commuter briefly falls asleep on a bench waiting for his train.</t>
  </si>
  <si>
    <t>A backpacker sits on a station bench and takes a five-minute nap.</t>
  </si>
  <si>
    <t>A shift worker briefly dozes on a bench waiting for her manager.</t>
  </si>
  <si>
    <t>phon</t>
  </si>
  <si>
    <t>Classes at a local school were frequently disrupted by students using their phones.</t>
  </si>
  <si>
    <t>To get students to pay attention in class, the headmaster announced: "Phones may not be used in the classroom".</t>
  </si>
  <si>
    <t>A student consults the textbook to answer a question in class.</t>
  </si>
  <si>
    <t>A student takes notes by hand to help her understand a lesson.</t>
  </si>
  <si>
    <t>A student arrives early to class and takes out her pencil case.</t>
  </si>
  <si>
    <t>A student texts friends on her phone and pays no attention.</t>
  </si>
  <si>
    <t>A student plays a game on his phone instead of paying attention.</t>
  </si>
  <si>
    <t>A student browses her phone instead of following her lesson.</t>
  </si>
  <si>
    <t>A student uses his phone's calculator for the in-class assignment.</t>
  </si>
  <si>
    <t>A diabetic student gets an alert on her phone to take her insulin.</t>
  </si>
  <si>
    <t>A student uses her phone as a paperweight to keep papers together.</t>
  </si>
  <si>
    <t>A student plays on his tablet instead of paying attention in class.</t>
  </si>
  <si>
    <t>A student messages friends on his laptop and pays no attention.</t>
  </si>
  <si>
    <t>A student reads news on her tablet and doesn't follow the lesson.</t>
  </si>
  <si>
    <t>dogs</t>
  </si>
  <si>
    <t>A restaurant's customers had their meals interrupted by a poorly behaved pet dog.</t>
  </si>
  <si>
    <t>To address this problem, the owner posted a rule: "No dogs allowed in the restaurant".</t>
  </si>
  <si>
    <t>A customer brings her pet bulldog into the restaurant for lunch.</t>
  </si>
  <si>
    <t>A couple bring their pet foxhound into the restaurant for dinner.</t>
  </si>
  <si>
    <t>A customer has lunch at the restaurant with his pet greyhound.</t>
  </si>
  <si>
    <t>A blind man brings his trained guide dog into the restaurant.</t>
  </si>
  <si>
    <t>A veteran brings her trained therapy dog into the restaurant.</t>
  </si>
  <si>
    <t>A man carries an injured dog into the restaurant to ask for help.</t>
  </si>
  <si>
    <t>An artist brings his rowdy pet monkey into the restaurant.</t>
  </si>
  <si>
    <t>An animal scientist brings a misbehaved fox into the restaurant.</t>
  </si>
  <si>
    <t>A customer walks into the restaurant with his talkative parrot.</t>
  </si>
  <si>
    <t>A customer brings a stack of used books into the restaurant.</t>
  </si>
  <si>
    <t>A customer walks into the restaurant with her foldable bike.</t>
  </si>
  <si>
    <t>A carpenter brings his toolbox along to the restaurant at lunch.</t>
  </si>
  <si>
    <t>shoo</t>
  </si>
  <si>
    <t>Deer have become an endangered species.</t>
  </si>
  <si>
    <t xml:space="preserve">To protect the deer population, parliament enacts a law: "It is an offense to shoot deer". </t>
  </si>
  <si>
    <t>A farmer sprays poison in his woodland to kill the local deer.</t>
  </si>
  <si>
    <t>A man catches and kills a lone baby deer with a hunting knife.</t>
  </si>
  <si>
    <t>A man catches a deer using a trap and gives it a lethal injection.</t>
  </si>
  <si>
    <t>A man heads deep into the local forest and sees several deer.</t>
  </si>
  <si>
    <t>A woman hikes in the woods carrying a flashlight and a lunch box.</t>
  </si>
  <si>
    <t>A man takes a walk in the park and photographs the deer there.</t>
  </si>
  <si>
    <t>A man heads deep into the local forest and shoots a deer.</t>
  </si>
  <si>
    <t>A woman enters a wildlife reserve where she shoots two deer.</t>
  </si>
  <si>
    <t>A hunter, armed with a rifle, fires on the first deer he sees.</t>
  </si>
  <si>
    <t>A farmer shoots a deer to end its suffering after it was run over.</t>
  </si>
  <si>
    <t>A hiker finds a dying deer and shoots it to relieve its pain.</t>
  </si>
  <si>
    <t>A vet shoots a deer with a disease that threatens the whole herd.</t>
  </si>
  <si>
    <t>auth</t>
  </si>
  <si>
    <t>A careless member of the public caused an accident in a scientific laboratory.</t>
  </si>
  <si>
    <t>To avoid accidents, the director of a scientific laboratory issued a rule: "Access for Laboratory Personnel Only".</t>
  </si>
  <si>
    <t>A scientist working at the laboratory starts a new experiment.</t>
  </si>
  <si>
    <t>A member of the public walks past the laboratory while going home.</t>
  </si>
  <si>
    <t>A tourist walks past the laboratory on his way to the wax museum.</t>
  </si>
  <si>
    <t>An amateur scientist enters the laboratory to take photographs.</t>
  </si>
  <si>
    <t>A thief enters the laboratory overnight to find and steal equipment.</t>
  </si>
  <si>
    <t>A student enters the laboratory to observe the scientists' work.</t>
  </si>
  <si>
    <t>A skilled technician enters the lab to discuss a job opening.</t>
  </si>
  <si>
    <t>A recently retired scientist returns to collect his briefcase.</t>
  </si>
  <si>
    <t>A retired scientist visits the lab to offer advice to new hirees.</t>
  </si>
  <si>
    <t>A lab member stays after work and gets drunk in the laboratory.</t>
  </si>
  <si>
    <t>A lab scientist performs a risky task while feeling dizzy and tired.</t>
  </si>
  <si>
    <t>A lab member spends the night sleeping on fragile lab equipment.</t>
  </si>
  <si>
    <t>drin</t>
  </si>
  <si>
    <t>Drunk drivers pose a serious risk to other road users.</t>
  </si>
  <si>
    <t>To reduce traffic accidents, a zero tolerance law is passed: "Driving with any trace of alcohol is strictly forbidden".</t>
  </si>
  <si>
    <t>A sober man rides his motorcycle home after playing board games.</t>
  </si>
  <si>
    <t>A woman drives home after drinking soda at the movie theater.</t>
  </si>
  <si>
    <t>A sober man re-parks his car in the cul-de-sac to let a guest out.</t>
  </si>
  <si>
    <t xml:space="preserve">A young man drives home after drinking heavily at a music festival. </t>
  </si>
  <si>
    <t>One night two drunk motorbikers race each other on a dark backroad.</t>
  </si>
  <si>
    <t>A woman drives home after drinking whiskey at the movie theater.</t>
  </si>
  <si>
    <t>A neighbor sips on wine and re-parks his car in the cul-de-sac.</t>
  </si>
  <si>
    <t>A person drives to work after using alcohol-based mouthwash.</t>
  </si>
  <si>
    <t>A drunk man drives his wife to the hospital as she goes into labor.</t>
  </si>
  <si>
    <t>A young man rides his motorcycle home after smoking marihuana.</t>
  </si>
  <si>
    <t>One stormy night two sober motorbikers race each other on a dark backroad.</t>
  </si>
  <si>
    <t xml:space="preserve">A woman drives home after taking ecstasy at a music festival. </t>
  </si>
  <si>
    <t>mean</t>
  </si>
  <si>
    <t>sd</t>
  </si>
  <si>
    <t>overall</t>
  </si>
  <si>
    <t>L1</t>
  </si>
  <si>
    <t>L1c</t>
  </si>
  <si>
    <t>H1</t>
  </si>
  <si>
    <t>Type</t>
  </si>
  <si>
    <t>Item</t>
  </si>
  <si>
    <t>mean(resp, na.rm = TRUE)</t>
  </si>
  <si>
    <t>median(as.double(Timing), na.rm = TRUE)</t>
  </si>
  <si>
    <t>Access</t>
  </si>
  <si>
    <t>A member of the public enters the laboratory to see great scientists at work.</t>
  </si>
  <si>
    <t>A thief enters the laboratory to find valuable scientific equipment to steal.</t>
  </si>
  <si>
    <t>A tourist enters the laboratory to get a glimpse of great scientists at work.</t>
  </si>
  <si>
    <t>A member of the public walks past the laboratory on her way to the park.</t>
  </si>
  <si>
    <t>A scientist working at the laboratory gets started on her latest experiment.</t>
  </si>
  <si>
    <t>A tourist walks past the laboratory on his way to the new science museum.</t>
  </si>
  <si>
    <t>A recently retired scientist at the laboratory returns to collect his briefcase.</t>
  </si>
  <si>
    <t>A recently retired scientist at the laboratory returns to offer some advice.</t>
  </si>
  <si>
    <t>A scientist at a similar institution enters the lab to ask about a job vacancy.</t>
  </si>
  <si>
    <t>A scientist at the laboratory spends the night sleeping on fragile equipment</t>
  </si>
  <si>
    <t>0.4</t>
  </si>
  <si>
    <t>A scientist at the laboratory stays on after work and gets very drunk there.</t>
  </si>
  <si>
    <t>A scientist at the laboratory stays on after work and takes hard drugs there.</t>
  </si>
  <si>
    <t>Cars</t>
  </si>
  <si>
    <t>A red party limo drives through the park at the DJs request.</t>
  </si>
  <si>
    <t>A couple bring their new baby through the park in a sling.</t>
  </si>
  <si>
    <t>A man parks a landscaper truck in the park to remove a tree.</t>
  </si>
  <si>
    <t>An artist installs a race car in the park to honour local heroes.</t>
  </si>
  <si>
    <t>1.94</t>
  </si>
  <si>
    <t>A person test-drives their new electric scooter in the park.</t>
  </si>
  <si>
    <t>Dogs</t>
  </si>
  <si>
    <t>A customer walks into the restaurant with his pet greyhound.</t>
  </si>
  <si>
    <t>A couple have breakfast together at the restaurant before work.</t>
  </si>
  <si>
    <t>A customer uses the restaurant WC while waiting for her food.</t>
  </si>
  <si>
    <t>Three colleagues have a meeting over dinner at the restaurant.</t>
  </si>
  <si>
    <t>A blind person brings his trained guide dog into the restaurant.</t>
  </si>
  <si>
    <t>A man carries an injured dog into the restaurant to call for help.</t>
  </si>
  <si>
    <t>A woman brings her trained therapy labrador into the restaurant.</t>
  </si>
  <si>
    <t>A customer brings his new pet fox into the restaurant for lunch.</t>
  </si>
  <si>
    <t>A customer brings his pet monkey into the restaurant for lunch.</t>
  </si>
  <si>
    <t>A customer walks into the restaurant with his new pet parrot.</t>
  </si>
  <si>
    <t>Phone</t>
  </si>
  <si>
    <t>A student plays a game on his phone instead of paying attention in class.</t>
  </si>
  <si>
    <t>A student surfs the internet on her phone instead of following her lesson.</t>
  </si>
  <si>
    <t>A student texts on her phone instead of paying attention to the teacher.</t>
  </si>
  <si>
    <t>A student arrives early and takes out her pencil case to be ready for class.</t>
  </si>
  <si>
    <t>A student consults the textbook to answer the teachers question in class.</t>
  </si>
  <si>
    <t>A student takes thorough notes to help her understand her teachers lesson.</t>
  </si>
  <si>
    <t>2.1575</t>
  </si>
  <si>
    <t>A diabetic student responds to an alert on her phone to take an insulin shot.</t>
  </si>
  <si>
    <t>A student uses her phone as a paperweight to keep her papers together.</t>
  </si>
  <si>
    <t>A student uses his phones calculator function for the in-class assignment.</t>
  </si>
  <si>
    <t>1.61</t>
  </si>
  <si>
    <t>A student is instant-messaging on his laptop instead of listening in class.</t>
  </si>
  <si>
    <t>0.5</t>
  </si>
  <si>
    <t>A student reads news on her tablet while pretending to follow the lesson.</t>
  </si>
  <si>
    <t>0.8</t>
  </si>
  <si>
    <t>A student uses his tablet to play games instead of paying attention in class.</t>
  </si>
  <si>
    <t>Shoes</t>
  </si>
  <si>
    <t>0.08</t>
  </si>
  <si>
    <t>A guest wears new sneakers and the floor stays clean.</t>
  </si>
  <si>
    <t>1.22</t>
  </si>
  <si>
    <t>A guest walks in with muddy socks and dirties the carpet.</t>
  </si>
  <si>
    <t>Shoot</t>
  </si>
  <si>
    <t>A hunter, armed with a high powered rifle, fires on the first deer he sees.</t>
  </si>
  <si>
    <t>A man heads deep into the local forest and shoots the first deer he sees.</t>
  </si>
  <si>
    <t>A woman enters a local wildlife reserve with a rifle and shoots two deer.</t>
  </si>
  <si>
    <t>1.1375</t>
  </si>
  <si>
    <t>A man goes to see deer in the zoo, carrying his new phone and a flask.</t>
  </si>
  <si>
    <t>1.39</t>
  </si>
  <si>
    <t>A man goes walking in the woods, carrying his phone and a lunch box.</t>
  </si>
  <si>
    <t>A woman goes hiking in the woods, carrying a flask and a lunch box.</t>
  </si>
  <si>
    <t>A farmer finds a mortally injured deer and shoots it to end its suffering.</t>
  </si>
  <si>
    <t>A hiker finds a mortally wounded deer and shoots it to end its suffering.</t>
  </si>
  <si>
    <t>A vet shoots a deer that carries a disease that endangers the whole herd.</t>
  </si>
  <si>
    <t>A farmer places poison in his woodland to kill the deer that live there.</t>
  </si>
  <si>
    <t>A man enters a wood and throws a spear at the first deer he sees there.</t>
  </si>
  <si>
    <t>A man sneaks up on a lone baby deer and kills it with a hunting knife.</t>
  </si>
  <si>
    <t>Sleep</t>
  </si>
  <si>
    <t>A backpacker sleeps on a bench at the station from dusk until dawn.</t>
  </si>
  <si>
    <t>A vagrant spends the night passed out drunk on a bench at the station.</t>
  </si>
  <si>
    <t>A vagrant spends the night sleeping on one of the stations benches.</t>
  </si>
  <si>
    <t>A backpacker looks for her lost phone on the furthest station platform.</t>
  </si>
  <si>
    <t>A businesswoman enters the station and buys tickets for the next train.</t>
  </si>
  <si>
    <t>A commuter alights from a train which has just arrived at the station.</t>
  </si>
  <si>
    <t>A businessman briefly dozes on a bench waiting for his delayed train.</t>
  </si>
  <si>
    <t>A commuter briefly falls asleep on a bench waiting for a delayed train.</t>
  </si>
  <si>
    <t>2.1175</t>
  </si>
  <si>
    <t>A shift worker briefly dozes on a bench waiting for her delayed train.</t>
  </si>
  <si>
    <t>0.48</t>
  </si>
  <si>
    <t>A backpacker spends the night sleeping behind a bench at the station.</t>
  </si>
  <si>
    <t>A vagrant sleeps on the floor at the station from dusk until daybreak.</t>
  </si>
  <si>
    <t>0.25</t>
  </si>
  <si>
    <t>A vagrant spends the night on a bench at the station but does not sleep.</t>
  </si>
  <si>
    <t>Touch</t>
  </si>
  <si>
    <t>Jane Smith goes to the local hotel spa and gets a head and foot massage.</t>
  </si>
  <si>
    <t>Jeffrey Smith takes part in wrestling practice after school with his team.</t>
  </si>
  <si>
    <t>0.92</t>
  </si>
  <si>
    <t>John Smith travels to his friends place across town, where they have sex.</t>
  </si>
  <si>
    <t>Mary Smith made dinner for the family before turning on the television.</t>
  </si>
  <si>
    <t>Sara Smith went for a walk in the park and saw some children playing.</t>
  </si>
  <si>
    <t>Wayne Smith went for a drive up the mountains to relieve his boredom.</t>
  </si>
  <si>
    <t>Outside, Jake Smith catches a little vaccinated girl who falls from a tree.</t>
  </si>
  <si>
    <t>Outside, James Smith carries a vaccinated man having a stroke to a clinic.</t>
  </si>
  <si>
    <t>Outside, Jo Smith gives first aid to a vaccinated man having a heart attack.</t>
  </si>
  <si>
    <t>Jeff Smith invites his teammates home for a beer and hugs each of them.</t>
  </si>
  <si>
    <t>Jessica Smith invites friends home for tea and gives each of them a hug.</t>
  </si>
  <si>
    <t>1.72</t>
  </si>
  <si>
    <t>Peter Smith invites a stranger into the family home, where they have sex.</t>
  </si>
  <si>
    <t>A friendly neighbor enters the laboratory to greet the scientists.</t>
  </si>
  <si>
    <t>A group of solicitors enter the laboratory to discuss religion.</t>
  </si>
  <si>
    <t>A curious neighbor photographs the lab building from the outside.</t>
  </si>
  <si>
    <t>A solicitor discusses religion across the street from the lab.</t>
  </si>
  <si>
    <t>A firefighter enters the lab to put out an impending fire.</t>
  </si>
  <si>
    <t>A lab hiree visits the lab a week before her contract starts.</t>
  </si>
  <si>
    <t>A lab member misuses hazardous equipment in a fit of rage.</t>
  </si>
  <si>
    <t>A lab scientist causes a safety hazard to spite his boss.</t>
  </si>
  <si>
    <t xml:space="preserve">A mailman drives back to the post office through the park. </t>
  </si>
  <si>
    <t>A commuter drives through the park to avoid a traffic jam.</t>
  </si>
  <si>
    <t xml:space="preserve">A barista walks around the park on her break and makes a call. </t>
  </si>
  <si>
    <t>A cyclist rides through the park to avoid the main road.</t>
  </si>
  <si>
    <t xml:space="preserve">A child drives a toy car in the park led by his mother. </t>
  </si>
  <si>
    <t>A stunt driver speeds around the park while it is closed off.</t>
  </si>
  <si>
    <t>A team of skaters speed down the park hill on a busy day.</t>
  </si>
  <si>
    <t>A motorized hang glider lands on the park's main walkway.</t>
  </si>
  <si>
    <t>A customer hides his poodle by the restaurant piano and orders.</t>
  </si>
  <si>
    <t>A customer walks into the restaurant with a litter of puppies.</t>
  </si>
  <si>
    <t>An animal scientist brings photos of wildlife into the restaurant.</t>
  </si>
  <si>
    <t>A customer has lunch at the restaurant with a real estate agent.</t>
  </si>
  <si>
    <t>A woman brings an injured dog in the restaurant to seek help.</t>
  </si>
  <si>
    <t>A blind couple dine at the restaurant with their guide dog.</t>
  </si>
  <si>
    <t>A customer enters the restaurant with a baby bat on her shoulder.</t>
  </si>
  <si>
    <t>A customer walks into the restaurant with a litter of kittens.</t>
  </si>
  <si>
    <t>A woman shares a bottle of vodka with her friends and drives home.</t>
  </si>
  <si>
    <t>An old man drinks a bottle of prosecco wine and goes for a drive.</t>
  </si>
  <si>
    <t>A woman has a can of coke zero while driving on the motorway.</t>
  </si>
  <si>
    <t>A man drives home after having coffee with his co-workers.</t>
  </si>
  <si>
    <t>A man drives home after eating risotto cooked in white wine.</t>
  </si>
  <si>
    <t>An old lady eats a rum chocolate bar before she drives.</t>
  </si>
  <si>
    <t>One stormy night two sober motorbikers race each other on a dark road.</t>
  </si>
  <si>
    <t>A man drives his car around after taking several sleeping pills.</t>
  </si>
  <si>
    <t>A young woman goes for a drive while high on mushrooms.</t>
  </si>
  <si>
    <t>A student sends texts from her phone and ignores the teacher.</t>
  </si>
  <si>
    <t>A student uses his phone to post pictures on Instagram.</t>
  </si>
  <si>
    <t>A student uses her calculator to solve an equation in maths class.</t>
  </si>
  <si>
    <t>A student thinks hard about a problem discussed in class.</t>
  </si>
  <si>
    <t>A student uses her phone to call for help after the teacher fainted.</t>
  </si>
  <si>
    <t>A student uses his phone to take notes about the lecture.</t>
  </si>
  <si>
    <t>A student chats with his classmate instead of paying attention.</t>
  </si>
  <si>
    <t>A student falls asleep in class, hiding behind an open book.</t>
  </si>
  <si>
    <t>A guest wears muddy jogging shoes and carries dirt in.</t>
  </si>
  <si>
    <t>A guest wears dirty boots and ruins a white carpet.</t>
  </si>
  <si>
    <t>A guest wears socks made of wool and keeps the floor clean.</t>
  </si>
  <si>
    <t>A guest takes her shoes off and the floors stay clean.</t>
  </si>
  <si>
    <t>A guest wears new ballet shoes and the floors stay clean.</t>
  </si>
  <si>
    <t>A guest wears brand new boots and keeps the floor clean.</t>
  </si>
  <si>
    <t>A guest enters with muddy feet and gets the carpet dirty.</t>
  </si>
  <si>
    <t>A guest walks in with wet socks and stains the carpet.</t>
  </si>
  <si>
    <t>A man follows a deer through the forest at night and shoots it.</t>
  </si>
  <si>
    <t>A woman sneaks up on a herd of deer and shoots them.</t>
  </si>
  <si>
    <t>A kid follows a deer through the forest to get a better look at it.</t>
  </si>
  <si>
    <t>A woman observes several deer and records a video of them.</t>
  </si>
  <si>
    <t>A hiker shoots a dying deer that was crushed by a boulder.</t>
  </si>
  <si>
    <t>A vet shoots a deer that is slowly dying after a bear attack.</t>
  </si>
  <si>
    <t>A man drives his truck into the forest and runs over several deer.</t>
  </si>
  <si>
    <t>A woman sneaks up on a baby deer and strangles it to death.</t>
  </si>
  <si>
    <t>A homeless woman makes her bed on a station bench and falls asleep.</t>
  </si>
  <si>
    <t>A drunk man sleeps on a station bench after missing the last train.</t>
  </si>
  <si>
    <t>A student reads a book while waiting for the train to school.</t>
  </si>
  <si>
    <t>A woman studies the timetable to plan her weekend get-away.</t>
  </si>
  <si>
    <t>A student falls asleep for three minutes while waiting for a train.</t>
  </si>
  <si>
    <t>A small child sleeps in her mother's arms on a station bench.</t>
  </si>
  <si>
    <t>Two friends drink wine sitting on a station bench the entire night.</t>
  </si>
  <si>
    <t>A homeless woman spends the whole night walking around the station.</t>
  </si>
  <si>
    <t>To ensure that customers are not disturbed during their meals, the restaurant owner posted a rule: "No dogs allowed in the restaurant".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</si>
</sst>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\.yyyy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&quot;Arial&quot;"/>
    </font>
    <font>
      <sz val="14"/>
      <color rgb="FF000000"/>
      <name val="Calibri"/>
    </font>
    <font>
      <b/>
      <sz val="10"/>
      <color rgb="FF000000"/>
      <name val="&quot;Arial&quot;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2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/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5"/>
  <sheetViews>
    <sheetView topLeftCell="A40" workbookViewId="0">
      <selection activeCell="C75" sqref="C75"/>
    </sheetView>
  </sheetViews>
  <sheetFormatPr baseColWidth="10" defaultColWidth="12.6640625" defaultRowHeight="15.75" customHeight="1"/>
  <cols>
    <col min="1" max="1" width="8.33203125" customWidth="1"/>
    <col min="2" max="2" width="60.77734375" customWidth="1"/>
    <col min="3" max="3" width="86.77734375" customWidth="1"/>
    <col min="5" max="5" width="53.33203125" customWidth="1"/>
    <col min="10" max="10" width="29.6640625" customWidth="1"/>
  </cols>
  <sheetData>
    <row r="1" spans="1:9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13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f t="shared" ref="F2:F97" si="0">LEN(E2)</f>
        <v>57</v>
      </c>
      <c r="H2" s="2">
        <v>0.92</v>
      </c>
      <c r="I2" s="4">
        <v>1498</v>
      </c>
    </row>
    <row r="3" spans="1:9" ht="13.2">
      <c r="A3" s="2" t="s">
        <v>8</v>
      </c>
      <c r="B3" s="2" t="s">
        <v>9</v>
      </c>
      <c r="C3" s="2" t="s">
        <v>10</v>
      </c>
      <c r="D3" s="2" t="s">
        <v>11</v>
      </c>
      <c r="E3" s="2" t="s">
        <v>13</v>
      </c>
      <c r="F3" s="3">
        <f t="shared" si="0"/>
        <v>52</v>
      </c>
      <c r="H3" s="2">
        <v>1</v>
      </c>
      <c r="I3" s="4">
        <v>1095</v>
      </c>
    </row>
    <row r="4" spans="1:9" ht="13.2">
      <c r="A4" s="2" t="s">
        <v>8</v>
      </c>
      <c r="B4" s="2" t="s">
        <v>9</v>
      </c>
      <c r="C4" s="2" t="s">
        <v>10</v>
      </c>
      <c r="D4" s="2" t="s">
        <v>11</v>
      </c>
      <c r="E4" s="2" t="s">
        <v>14</v>
      </c>
      <c r="F4" s="3">
        <f t="shared" si="0"/>
        <v>53</v>
      </c>
      <c r="H4" s="2">
        <v>1</v>
      </c>
      <c r="I4" s="4">
        <v>829</v>
      </c>
    </row>
    <row r="5" spans="1:9" ht="13.2">
      <c r="A5" s="2" t="s">
        <v>8</v>
      </c>
      <c r="B5" s="2" t="s">
        <v>9</v>
      </c>
      <c r="C5" s="2" t="s">
        <v>10</v>
      </c>
      <c r="D5" s="2" t="s">
        <v>15</v>
      </c>
      <c r="E5" s="2" t="s">
        <v>16</v>
      </c>
      <c r="F5" s="3">
        <f t="shared" si="0"/>
        <v>56</v>
      </c>
      <c r="H5" s="2">
        <v>0.82</v>
      </c>
      <c r="I5" s="4">
        <v>1183</v>
      </c>
    </row>
    <row r="6" spans="1:9" ht="13.2">
      <c r="A6" s="2" t="s">
        <v>8</v>
      </c>
      <c r="B6" s="2" t="s">
        <v>9</v>
      </c>
      <c r="C6" s="2" t="s">
        <v>10</v>
      </c>
      <c r="D6" s="2" t="s">
        <v>15</v>
      </c>
      <c r="E6" s="2" t="s">
        <v>17</v>
      </c>
      <c r="F6" s="3">
        <f t="shared" si="0"/>
        <v>57</v>
      </c>
      <c r="H6" s="2">
        <v>0.73</v>
      </c>
      <c r="I6" s="4">
        <v>1436</v>
      </c>
    </row>
    <row r="7" spans="1:9" ht="13.2">
      <c r="A7" s="2" t="s">
        <v>8</v>
      </c>
      <c r="B7" s="2" t="s">
        <v>9</v>
      </c>
      <c r="C7" s="2" t="s">
        <v>10</v>
      </c>
      <c r="D7" s="2" t="s">
        <v>15</v>
      </c>
      <c r="E7" s="2" t="s">
        <v>18</v>
      </c>
      <c r="F7" s="3">
        <f t="shared" si="0"/>
        <v>57</v>
      </c>
      <c r="H7" s="2">
        <v>0.88</v>
      </c>
      <c r="I7" s="4">
        <v>1201</v>
      </c>
    </row>
    <row r="8" spans="1:9" ht="13.2">
      <c r="A8" s="2" t="s">
        <v>8</v>
      </c>
      <c r="B8" s="2" t="s">
        <v>9</v>
      </c>
      <c r="C8" s="2" t="s">
        <v>10</v>
      </c>
      <c r="D8" s="2" t="s">
        <v>19</v>
      </c>
      <c r="E8" s="2" t="s">
        <v>20</v>
      </c>
      <c r="F8" s="3">
        <f t="shared" si="0"/>
        <v>54</v>
      </c>
      <c r="H8" s="2">
        <v>0.11</v>
      </c>
      <c r="I8" s="4">
        <v>1220</v>
      </c>
    </row>
    <row r="9" spans="1:9" ht="13.2">
      <c r="A9" s="2" t="s">
        <v>8</v>
      </c>
      <c r="B9" s="2" t="s">
        <v>9</v>
      </c>
      <c r="C9" s="2" t="s">
        <v>10</v>
      </c>
      <c r="D9" s="2" t="s">
        <v>19</v>
      </c>
      <c r="E9" s="2" t="s">
        <v>21</v>
      </c>
      <c r="F9" s="3">
        <f t="shared" si="0"/>
        <v>56</v>
      </c>
      <c r="H9" s="2">
        <v>0.31</v>
      </c>
      <c r="I9" s="4">
        <v>1566</v>
      </c>
    </row>
    <row r="10" spans="1:9" ht="13.2">
      <c r="A10" s="2" t="s">
        <v>8</v>
      </c>
      <c r="B10" s="2" t="s">
        <v>9</v>
      </c>
      <c r="C10" s="2" t="s">
        <v>10</v>
      </c>
      <c r="D10" s="2" t="s">
        <v>19</v>
      </c>
      <c r="E10" s="2" t="s">
        <v>22</v>
      </c>
      <c r="F10" s="3">
        <f t="shared" si="0"/>
        <v>59</v>
      </c>
      <c r="H10" s="2">
        <v>0.12</v>
      </c>
      <c r="I10" s="4">
        <v>1482</v>
      </c>
    </row>
    <row r="11" spans="1:9" ht="13.2">
      <c r="A11" s="2" t="s">
        <v>8</v>
      </c>
      <c r="B11" s="2" t="s">
        <v>9</v>
      </c>
      <c r="C11" s="2" t="s">
        <v>10</v>
      </c>
      <c r="D11" s="2" t="s">
        <v>23</v>
      </c>
      <c r="E11" s="2" t="s">
        <v>24</v>
      </c>
      <c r="F11" s="3">
        <f t="shared" si="0"/>
        <v>57</v>
      </c>
      <c r="H11" s="2">
        <v>0</v>
      </c>
      <c r="I11" s="4">
        <v>1817</v>
      </c>
    </row>
    <row r="12" spans="1:9" ht="13.2">
      <c r="A12" s="2" t="s">
        <v>8</v>
      </c>
      <c r="B12" s="2" t="s">
        <v>9</v>
      </c>
      <c r="C12" s="2" t="s">
        <v>10</v>
      </c>
      <c r="D12" s="2" t="s">
        <v>23</v>
      </c>
      <c r="E12" s="2" t="s">
        <v>25</v>
      </c>
      <c r="F12" s="3">
        <f t="shared" si="0"/>
        <v>56</v>
      </c>
      <c r="H12" s="2">
        <v>0.08</v>
      </c>
      <c r="I12" s="4">
        <v>1674</v>
      </c>
    </row>
    <row r="13" spans="1:9" ht="13.2">
      <c r="A13" s="2" t="s">
        <v>8</v>
      </c>
      <c r="B13" s="2" t="s">
        <v>9</v>
      </c>
      <c r="C13" s="2" t="s">
        <v>10</v>
      </c>
      <c r="D13" s="2" t="s">
        <v>23</v>
      </c>
      <c r="E13" s="2" t="s">
        <v>26</v>
      </c>
      <c r="F13" s="3">
        <f t="shared" si="0"/>
        <v>56</v>
      </c>
      <c r="H13" s="2">
        <v>0.08</v>
      </c>
      <c r="I13" s="2">
        <v>1391</v>
      </c>
    </row>
    <row r="14" spans="1:9" ht="13.2">
      <c r="A14" s="2" t="s">
        <v>27</v>
      </c>
      <c r="B14" s="2" t="s">
        <v>28</v>
      </c>
      <c r="C14" s="2" t="s">
        <v>29</v>
      </c>
      <c r="D14" s="2" t="s">
        <v>15</v>
      </c>
      <c r="E14" s="2" t="s">
        <v>30</v>
      </c>
      <c r="F14" s="3">
        <f t="shared" si="0"/>
        <v>64</v>
      </c>
      <c r="H14" s="2">
        <v>0.39</v>
      </c>
      <c r="I14" s="4">
        <v>1351</v>
      </c>
    </row>
    <row r="15" spans="1:9" ht="13.2">
      <c r="A15" s="2" t="s">
        <v>27</v>
      </c>
      <c r="B15" s="2" t="s">
        <v>28</v>
      </c>
      <c r="C15" s="2" t="s">
        <v>29</v>
      </c>
      <c r="D15" s="2" t="s">
        <v>15</v>
      </c>
      <c r="E15" s="2" t="s">
        <v>31</v>
      </c>
      <c r="F15" s="3">
        <f t="shared" si="0"/>
        <v>56</v>
      </c>
      <c r="H15" s="2">
        <v>0.38</v>
      </c>
      <c r="I15" s="4">
        <v>1581</v>
      </c>
    </row>
    <row r="16" spans="1:9" ht="13.2">
      <c r="A16" s="2" t="s">
        <v>27</v>
      </c>
      <c r="B16" s="2" t="s">
        <v>28</v>
      </c>
      <c r="C16" s="2" t="s">
        <v>29</v>
      </c>
      <c r="D16" s="2" t="s">
        <v>15</v>
      </c>
      <c r="E16" s="2" t="s">
        <v>32</v>
      </c>
      <c r="F16" s="3">
        <f t="shared" si="0"/>
        <v>62</v>
      </c>
      <c r="H16" s="2">
        <v>0.33</v>
      </c>
      <c r="I16" s="4">
        <v>2376</v>
      </c>
    </row>
    <row r="17" spans="1:9" ht="13.2">
      <c r="A17" s="2" t="s">
        <v>27</v>
      </c>
      <c r="B17" s="2" t="s">
        <v>28</v>
      </c>
      <c r="C17" s="2" t="s">
        <v>29</v>
      </c>
      <c r="D17" s="2" t="s">
        <v>19</v>
      </c>
      <c r="E17" s="2" t="s">
        <v>33</v>
      </c>
      <c r="F17" s="3">
        <f t="shared" si="0"/>
        <v>59</v>
      </c>
      <c r="H17" s="2">
        <v>0.09</v>
      </c>
      <c r="I17" s="4">
        <v>1204</v>
      </c>
    </row>
    <row r="18" spans="1:9" ht="13.2">
      <c r="A18" s="2" t="s">
        <v>27</v>
      </c>
      <c r="B18" s="2" t="s">
        <v>28</v>
      </c>
      <c r="C18" s="2" t="s">
        <v>29</v>
      </c>
      <c r="D18" s="2" t="s">
        <v>19</v>
      </c>
      <c r="E18" s="2" t="s">
        <v>34</v>
      </c>
      <c r="F18" s="3">
        <f t="shared" si="0"/>
        <v>55</v>
      </c>
      <c r="H18" s="2">
        <v>0.46</v>
      </c>
      <c r="I18" s="4">
        <v>1803</v>
      </c>
    </row>
    <row r="19" spans="1:9" ht="13.2">
      <c r="A19" s="2" t="s">
        <v>27</v>
      </c>
      <c r="B19" s="2" t="s">
        <v>28</v>
      </c>
      <c r="C19" s="2" t="s">
        <v>29</v>
      </c>
      <c r="D19" s="2" t="s">
        <v>19</v>
      </c>
      <c r="E19" s="2" t="s">
        <v>35</v>
      </c>
      <c r="F19" s="3">
        <f t="shared" si="0"/>
        <v>57</v>
      </c>
      <c r="H19" s="2">
        <v>0.12</v>
      </c>
      <c r="I19" s="4">
        <v>1940</v>
      </c>
    </row>
    <row r="20" spans="1:9" ht="13.2">
      <c r="A20" s="2" t="s">
        <v>27</v>
      </c>
      <c r="B20" s="2" t="s">
        <v>28</v>
      </c>
      <c r="C20" s="2" t="s">
        <v>29</v>
      </c>
      <c r="D20" s="2" t="s">
        <v>23</v>
      </c>
      <c r="E20" s="2" t="s">
        <v>36</v>
      </c>
      <c r="F20" s="3">
        <f t="shared" si="0"/>
        <v>58</v>
      </c>
      <c r="H20" s="2">
        <v>0</v>
      </c>
      <c r="I20" s="4">
        <v>1518</v>
      </c>
    </row>
    <row r="21" spans="1:9" ht="13.2">
      <c r="A21" s="2" t="s">
        <v>27</v>
      </c>
      <c r="B21" s="2" t="s">
        <v>28</v>
      </c>
      <c r="C21" s="2" t="s">
        <v>29</v>
      </c>
      <c r="D21" s="2" t="s">
        <v>23</v>
      </c>
      <c r="E21" s="2" t="s">
        <v>37</v>
      </c>
      <c r="F21" s="3">
        <f t="shared" si="0"/>
        <v>60</v>
      </c>
      <c r="H21" s="2">
        <v>0</v>
      </c>
      <c r="I21" s="4">
        <v>1569</v>
      </c>
    </row>
    <row r="22" spans="1:9" ht="13.2">
      <c r="A22" s="2" t="s">
        <v>27</v>
      </c>
      <c r="B22" s="2" t="s">
        <v>28</v>
      </c>
      <c r="C22" s="2" t="s">
        <v>29</v>
      </c>
      <c r="D22" s="2" t="s">
        <v>23</v>
      </c>
      <c r="E22" s="2" t="s">
        <v>38</v>
      </c>
      <c r="F22" s="3">
        <f t="shared" si="0"/>
        <v>56</v>
      </c>
      <c r="H22" s="2">
        <v>0.18</v>
      </c>
      <c r="I22" s="4">
        <v>1269</v>
      </c>
    </row>
    <row r="23" spans="1:9" ht="13.2">
      <c r="A23" s="2" t="s">
        <v>27</v>
      </c>
      <c r="B23" s="2" t="s">
        <v>28</v>
      </c>
      <c r="C23" s="2" t="s">
        <v>29</v>
      </c>
      <c r="D23" s="2" t="s">
        <v>11</v>
      </c>
      <c r="E23" s="2" t="s">
        <v>39</v>
      </c>
      <c r="F23" s="3">
        <f t="shared" si="0"/>
        <v>60</v>
      </c>
      <c r="H23" s="2">
        <v>1</v>
      </c>
      <c r="I23" s="4">
        <v>1113</v>
      </c>
    </row>
    <row r="24" spans="1:9" ht="13.2">
      <c r="A24" s="2" t="s">
        <v>27</v>
      </c>
      <c r="B24" s="2" t="s">
        <v>28</v>
      </c>
      <c r="C24" s="2" t="s">
        <v>29</v>
      </c>
      <c r="D24" s="2" t="s">
        <v>11</v>
      </c>
      <c r="E24" s="2" t="s">
        <v>40</v>
      </c>
      <c r="F24" s="3">
        <f t="shared" si="0"/>
        <v>61</v>
      </c>
      <c r="H24" s="2">
        <v>0.92</v>
      </c>
      <c r="I24" s="4">
        <v>1354</v>
      </c>
    </row>
    <row r="25" spans="1:9" ht="13.2">
      <c r="A25" s="2" t="s">
        <v>27</v>
      </c>
      <c r="B25" s="2" t="s">
        <v>28</v>
      </c>
      <c r="C25" s="2" t="s">
        <v>29</v>
      </c>
      <c r="D25" s="2" t="s">
        <v>11</v>
      </c>
      <c r="E25" s="2" t="s">
        <v>41</v>
      </c>
      <c r="F25" s="3">
        <f t="shared" si="0"/>
        <v>61</v>
      </c>
      <c r="H25" s="2">
        <v>1</v>
      </c>
      <c r="I25" s="4">
        <v>1043</v>
      </c>
    </row>
    <row r="26" spans="1:9" ht="13.2">
      <c r="A26" s="2" t="s">
        <v>42</v>
      </c>
      <c r="B26" s="2" t="s">
        <v>43</v>
      </c>
      <c r="C26" s="2" t="s">
        <v>44</v>
      </c>
      <c r="D26" s="2" t="s">
        <v>19</v>
      </c>
      <c r="E26" s="2" t="s">
        <v>45</v>
      </c>
      <c r="F26" s="3">
        <f t="shared" si="0"/>
        <v>63</v>
      </c>
      <c r="H26" s="2">
        <v>0.31</v>
      </c>
      <c r="I26" s="2">
        <v>1582</v>
      </c>
    </row>
    <row r="27" spans="1:9" ht="13.2">
      <c r="A27" s="2" t="s">
        <v>42</v>
      </c>
      <c r="B27" s="2" t="s">
        <v>43</v>
      </c>
      <c r="C27" s="2" t="s">
        <v>44</v>
      </c>
      <c r="D27" s="2" t="s">
        <v>19</v>
      </c>
      <c r="E27" s="2" t="s">
        <v>46</v>
      </c>
      <c r="F27" s="3">
        <f t="shared" si="0"/>
        <v>57</v>
      </c>
      <c r="H27" s="2">
        <v>0.25</v>
      </c>
      <c r="I27" s="2">
        <v>2531</v>
      </c>
    </row>
    <row r="28" spans="1:9" ht="13.2">
      <c r="A28" s="2" t="s">
        <v>42</v>
      </c>
      <c r="B28" s="2" t="s">
        <v>43</v>
      </c>
      <c r="C28" s="2" t="s">
        <v>44</v>
      </c>
      <c r="D28" s="2" t="s">
        <v>19</v>
      </c>
      <c r="E28" s="2" t="s">
        <v>47</v>
      </c>
      <c r="F28" s="3">
        <f t="shared" si="0"/>
        <v>62</v>
      </c>
      <c r="H28" s="2">
        <v>0.5</v>
      </c>
      <c r="I28" s="2">
        <v>1234</v>
      </c>
    </row>
    <row r="29" spans="1:9" ht="13.2">
      <c r="A29" s="2" t="s">
        <v>42</v>
      </c>
      <c r="B29" s="2" t="s">
        <v>43</v>
      </c>
      <c r="C29" s="2" t="s">
        <v>44</v>
      </c>
      <c r="D29" s="2" t="s">
        <v>23</v>
      </c>
      <c r="E29" s="2" t="s">
        <v>48</v>
      </c>
      <c r="F29" s="3">
        <f t="shared" si="0"/>
        <v>61</v>
      </c>
      <c r="H29" s="2">
        <v>0.09</v>
      </c>
      <c r="I29" s="2">
        <v>1549</v>
      </c>
    </row>
    <row r="30" spans="1:9" ht="13.2">
      <c r="A30" s="2" t="s">
        <v>42</v>
      </c>
      <c r="B30" s="2" t="s">
        <v>43</v>
      </c>
      <c r="C30" s="2" t="s">
        <v>44</v>
      </c>
      <c r="D30" s="2" t="s">
        <v>23</v>
      </c>
      <c r="E30" s="2" t="s">
        <v>49</v>
      </c>
      <c r="F30" s="3">
        <f t="shared" si="0"/>
        <v>63</v>
      </c>
      <c r="H30" s="2">
        <v>0.09</v>
      </c>
      <c r="I30" s="2">
        <v>1901</v>
      </c>
    </row>
    <row r="31" spans="1:9" ht="13.2">
      <c r="A31" s="2" t="s">
        <v>42</v>
      </c>
      <c r="B31" s="2" t="s">
        <v>43</v>
      </c>
      <c r="C31" s="2" t="s">
        <v>44</v>
      </c>
      <c r="D31" s="2" t="s">
        <v>23</v>
      </c>
      <c r="E31" s="2" t="s">
        <v>50</v>
      </c>
      <c r="F31" s="3">
        <f t="shared" si="0"/>
        <v>62</v>
      </c>
      <c r="H31" s="2">
        <v>0.12</v>
      </c>
      <c r="I31" s="2">
        <v>2337</v>
      </c>
    </row>
    <row r="32" spans="1:9" ht="13.2">
      <c r="A32" s="2" t="s">
        <v>42</v>
      </c>
      <c r="B32" s="2" t="s">
        <v>43</v>
      </c>
      <c r="C32" s="2" t="s">
        <v>44</v>
      </c>
      <c r="D32" s="2" t="s">
        <v>11</v>
      </c>
      <c r="E32" s="2" t="s">
        <v>51</v>
      </c>
      <c r="F32" s="3">
        <f t="shared" si="0"/>
        <v>62</v>
      </c>
      <c r="H32" s="2">
        <v>1</v>
      </c>
      <c r="I32" s="2">
        <v>1631</v>
      </c>
    </row>
    <row r="33" spans="1:9" ht="13.2">
      <c r="A33" s="2" t="s">
        <v>42</v>
      </c>
      <c r="B33" s="2" t="s">
        <v>43</v>
      </c>
      <c r="C33" s="2" t="s">
        <v>44</v>
      </c>
      <c r="D33" s="2" t="s">
        <v>11</v>
      </c>
      <c r="E33" s="2" t="s">
        <v>52</v>
      </c>
      <c r="F33" s="3">
        <f t="shared" si="0"/>
        <v>58</v>
      </c>
      <c r="H33" s="2">
        <v>0.88</v>
      </c>
      <c r="I33" s="2">
        <v>1148</v>
      </c>
    </row>
    <row r="34" spans="1:9" ht="13.2">
      <c r="A34" s="2" t="s">
        <v>42</v>
      </c>
      <c r="B34" s="2" t="s">
        <v>43</v>
      </c>
      <c r="C34" s="2" t="s">
        <v>44</v>
      </c>
      <c r="D34" s="2" t="s">
        <v>11</v>
      </c>
      <c r="E34" s="2" t="s">
        <v>53</v>
      </c>
      <c r="F34" s="3">
        <f t="shared" si="0"/>
        <v>62</v>
      </c>
      <c r="H34" s="2">
        <v>0.77</v>
      </c>
      <c r="I34" s="2">
        <v>1631</v>
      </c>
    </row>
    <row r="35" spans="1:9" ht="13.2">
      <c r="A35" s="2" t="s">
        <v>42</v>
      </c>
      <c r="B35" s="2" t="s">
        <v>43</v>
      </c>
      <c r="C35" s="2" t="s">
        <v>44</v>
      </c>
      <c r="D35" s="2" t="s">
        <v>15</v>
      </c>
      <c r="E35" s="2" t="s">
        <v>54</v>
      </c>
      <c r="F35" s="3">
        <f t="shared" si="0"/>
        <v>65</v>
      </c>
      <c r="H35" s="2">
        <v>0.69</v>
      </c>
      <c r="I35" s="2">
        <v>1606</v>
      </c>
    </row>
    <row r="36" spans="1:9" ht="13.2">
      <c r="A36" s="2" t="s">
        <v>42</v>
      </c>
      <c r="B36" s="2" t="s">
        <v>43</v>
      </c>
      <c r="C36" s="2" t="s">
        <v>44</v>
      </c>
      <c r="D36" s="2" t="s">
        <v>15</v>
      </c>
      <c r="E36" s="2" t="s">
        <v>55</v>
      </c>
      <c r="F36" s="3">
        <f t="shared" si="0"/>
        <v>65</v>
      </c>
      <c r="H36" s="2">
        <v>0.5</v>
      </c>
      <c r="I36" s="2">
        <v>2118</v>
      </c>
    </row>
    <row r="37" spans="1:9" ht="13.2">
      <c r="A37" s="2" t="s">
        <v>42</v>
      </c>
      <c r="B37" s="2" t="s">
        <v>43</v>
      </c>
      <c r="C37" s="2" t="s">
        <v>44</v>
      </c>
      <c r="D37" s="2" t="s">
        <v>15</v>
      </c>
      <c r="E37" s="2" t="s">
        <v>56</v>
      </c>
      <c r="F37" s="3">
        <f t="shared" si="0"/>
        <v>64</v>
      </c>
      <c r="H37" s="2">
        <v>0.48</v>
      </c>
      <c r="I37" s="2">
        <v>1046</v>
      </c>
    </row>
    <row r="38" spans="1:9" ht="13.2">
      <c r="A38" s="2" t="s">
        <v>57</v>
      </c>
      <c r="B38" s="2" t="s">
        <v>58</v>
      </c>
      <c r="C38" s="2" t="s">
        <v>59</v>
      </c>
      <c r="D38" s="2" t="s">
        <v>23</v>
      </c>
      <c r="E38" s="2" t="s">
        <v>60</v>
      </c>
      <c r="F38" s="3">
        <f t="shared" si="0"/>
        <v>62</v>
      </c>
      <c r="H38" s="2">
        <v>0</v>
      </c>
      <c r="I38" s="2">
        <v>1516</v>
      </c>
    </row>
    <row r="39" spans="1:9" ht="13.2">
      <c r="A39" s="2" t="s">
        <v>57</v>
      </c>
      <c r="B39" s="2" t="s">
        <v>58</v>
      </c>
      <c r="C39" s="2" t="s">
        <v>59</v>
      </c>
      <c r="D39" s="2" t="s">
        <v>23</v>
      </c>
      <c r="E39" s="2" t="s">
        <v>61</v>
      </c>
      <c r="F39" s="3">
        <f t="shared" si="0"/>
        <v>62</v>
      </c>
      <c r="H39" s="2">
        <v>0.06</v>
      </c>
      <c r="I39" s="2">
        <v>2158</v>
      </c>
    </row>
    <row r="40" spans="1:9" ht="13.2">
      <c r="A40" s="2" t="s">
        <v>57</v>
      </c>
      <c r="B40" s="2" t="s">
        <v>58</v>
      </c>
      <c r="C40" s="2" t="s">
        <v>59</v>
      </c>
      <c r="D40" s="2" t="s">
        <v>23</v>
      </c>
      <c r="E40" s="2" t="s">
        <v>62</v>
      </c>
      <c r="F40" s="3">
        <f t="shared" si="0"/>
        <v>63</v>
      </c>
      <c r="H40" s="2">
        <v>0.08</v>
      </c>
      <c r="I40" s="2">
        <v>1743</v>
      </c>
    </row>
    <row r="41" spans="1:9" ht="13.2">
      <c r="A41" s="2" t="s">
        <v>57</v>
      </c>
      <c r="B41" s="2" t="s">
        <v>58</v>
      </c>
      <c r="C41" s="2" t="s">
        <v>59</v>
      </c>
      <c r="D41" s="2" t="s">
        <v>11</v>
      </c>
      <c r="E41" s="2" t="s">
        <v>63</v>
      </c>
      <c r="F41" s="3">
        <f t="shared" si="0"/>
        <v>59</v>
      </c>
      <c r="H41" s="2">
        <v>1</v>
      </c>
      <c r="I41" s="2">
        <v>1472</v>
      </c>
    </row>
    <row r="42" spans="1:9" ht="13.2">
      <c r="A42" s="2" t="s">
        <v>57</v>
      </c>
      <c r="B42" s="2" t="s">
        <v>58</v>
      </c>
      <c r="C42" s="2" t="s">
        <v>59</v>
      </c>
      <c r="D42" s="2" t="s">
        <v>11</v>
      </c>
      <c r="E42" s="2" t="s">
        <v>64</v>
      </c>
      <c r="F42" s="3">
        <f t="shared" si="0"/>
        <v>64</v>
      </c>
      <c r="H42" s="2">
        <v>0.91</v>
      </c>
      <c r="I42" s="2">
        <v>1017</v>
      </c>
    </row>
    <row r="43" spans="1:9" ht="13.2">
      <c r="A43" s="2" t="s">
        <v>57</v>
      </c>
      <c r="B43" s="2" t="s">
        <v>58</v>
      </c>
      <c r="C43" s="2" t="s">
        <v>59</v>
      </c>
      <c r="D43" s="2" t="s">
        <v>11</v>
      </c>
      <c r="E43" s="2" t="s">
        <v>65</v>
      </c>
      <c r="F43" s="3">
        <f t="shared" si="0"/>
        <v>60</v>
      </c>
      <c r="H43" s="2">
        <v>0.94</v>
      </c>
      <c r="I43" s="2">
        <v>1211</v>
      </c>
    </row>
    <row r="44" spans="1:9" ht="13.2">
      <c r="A44" s="2" t="s">
        <v>57</v>
      </c>
      <c r="B44" s="2" t="s">
        <v>58</v>
      </c>
      <c r="C44" s="2" t="s">
        <v>59</v>
      </c>
      <c r="D44" s="2" t="s">
        <v>15</v>
      </c>
      <c r="E44" s="2" t="s">
        <v>66</v>
      </c>
      <c r="F44" s="3">
        <f t="shared" si="0"/>
        <v>66</v>
      </c>
      <c r="H44" s="2">
        <v>0.78</v>
      </c>
      <c r="I44" s="2">
        <v>1610</v>
      </c>
    </row>
    <row r="45" spans="1:9" ht="13.2">
      <c r="A45" s="2" t="s">
        <v>57</v>
      </c>
      <c r="B45" s="2" t="s">
        <v>58</v>
      </c>
      <c r="C45" s="2" t="s">
        <v>59</v>
      </c>
      <c r="D45" s="2" t="s">
        <v>15</v>
      </c>
      <c r="E45" s="2" t="s">
        <v>67</v>
      </c>
      <c r="F45" s="3">
        <f t="shared" si="0"/>
        <v>66</v>
      </c>
      <c r="H45" s="2">
        <v>0.44</v>
      </c>
      <c r="I45" s="2">
        <v>1553</v>
      </c>
    </row>
    <row r="46" spans="1:9" ht="13.2">
      <c r="A46" s="2" t="s">
        <v>57</v>
      </c>
      <c r="B46" s="2" t="s">
        <v>58</v>
      </c>
      <c r="C46" s="2" t="s">
        <v>59</v>
      </c>
      <c r="D46" s="2" t="s">
        <v>15</v>
      </c>
      <c r="E46" s="2" t="s">
        <v>68</v>
      </c>
      <c r="F46" s="3">
        <f t="shared" si="0"/>
        <v>66</v>
      </c>
      <c r="H46" s="2">
        <v>0.71</v>
      </c>
      <c r="I46" s="2">
        <v>1394</v>
      </c>
    </row>
    <row r="47" spans="1:9" ht="13.2">
      <c r="A47" s="2" t="s">
        <v>57</v>
      </c>
      <c r="B47" s="2" t="s">
        <v>58</v>
      </c>
      <c r="C47" s="2" t="s">
        <v>59</v>
      </c>
      <c r="D47" s="2" t="s">
        <v>19</v>
      </c>
      <c r="E47" s="2" t="s">
        <v>69</v>
      </c>
      <c r="F47" s="3">
        <f t="shared" si="0"/>
        <v>67</v>
      </c>
      <c r="H47" s="2">
        <v>0.15</v>
      </c>
      <c r="I47" s="2">
        <v>1501</v>
      </c>
    </row>
    <row r="48" spans="1:9" ht="13.2">
      <c r="A48" s="2" t="s">
        <v>57</v>
      </c>
      <c r="B48" s="2" t="s">
        <v>58</v>
      </c>
      <c r="C48" s="2" t="s">
        <v>59</v>
      </c>
      <c r="D48" s="2" t="s">
        <v>19</v>
      </c>
      <c r="E48" s="2" t="s">
        <v>70</v>
      </c>
      <c r="F48" s="3">
        <f t="shared" si="0"/>
        <v>63</v>
      </c>
      <c r="H48" s="2">
        <v>0.5</v>
      </c>
      <c r="I48" s="2">
        <v>2608</v>
      </c>
    </row>
    <row r="49" spans="1:9" ht="13.2">
      <c r="A49" s="2" t="s">
        <v>57</v>
      </c>
      <c r="B49" s="2" t="s">
        <v>58</v>
      </c>
      <c r="C49" s="2" t="s">
        <v>59</v>
      </c>
      <c r="D49" s="2" t="s">
        <v>19</v>
      </c>
      <c r="E49" s="2" t="s">
        <v>71</v>
      </c>
      <c r="F49" s="3">
        <f t="shared" si="0"/>
        <v>65</v>
      </c>
      <c r="H49" s="2">
        <v>0.8</v>
      </c>
      <c r="I49" s="2">
        <v>1359</v>
      </c>
    </row>
    <row r="50" spans="1:9" ht="13.2">
      <c r="A50" s="2" t="s">
        <v>72</v>
      </c>
      <c r="B50" s="2" t="s">
        <v>73</v>
      </c>
      <c r="C50" s="2" t="s">
        <v>74</v>
      </c>
      <c r="D50" s="2" t="s">
        <v>11</v>
      </c>
      <c r="E50" s="2" t="s">
        <v>75</v>
      </c>
      <c r="F50" s="3">
        <f t="shared" si="0"/>
        <v>64</v>
      </c>
      <c r="H50" s="2">
        <v>0.92</v>
      </c>
      <c r="I50" s="2">
        <v>1248</v>
      </c>
    </row>
    <row r="51" spans="1:9" ht="13.2">
      <c r="A51" s="2" t="s">
        <v>72</v>
      </c>
      <c r="B51" s="2" t="s">
        <v>73</v>
      </c>
      <c r="C51" s="2" t="s">
        <v>74</v>
      </c>
      <c r="D51" s="2" t="s">
        <v>11</v>
      </c>
      <c r="E51" s="2" t="s">
        <v>76</v>
      </c>
      <c r="F51" s="3">
        <f t="shared" si="0"/>
        <v>65</v>
      </c>
      <c r="H51" s="2">
        <v>0.94</v>
      </c>
      <c r="I51" s="2">
        <v>1267</v>
      </c>
    </row>
    <row r="52" spans="1:9" ht="13.2">
      <c r="A52" s="2" t="s">
        <v>72</v>
      </c>
      <c r="B52" s="2" t="s">
        <v>73</v>
      </c>
      <c r="C52" s="2" t="s">
        <v>74</v>
      </c>
      <c r="D52" s="2" t="s">
        <v>11</v>
      </c>
      <c r="E52" s="2" t="s">
        <v>77</v>
      </c>
      <c r="F52" s="3">
        <f t="shared" si="0"/>
        <v>62</v>
      </c>
      <c r="H52" s="2">
        <v>1</v>
      </c>
      <c r="I52" s="2">
        <v>868</v>
      </c>
    </row>
    <row r="53" spans="1:9" ht="13.2">
      <c r="A53" s="2" t="s">
        <v>72</v>
      </c>
      <c r="B53" s="2" t="s">
        <v>73</v>
      </c>
      <c r="C53" s="2" t="s">
        <v>74</v>
      </c>
      <c r="D53" s="2" t="s">
        <v>15</v>
      </c>
      <c r="E53" s="2" t="s">
        <v>78</v>
      </c>
      <c r="F53" s="3">
        <f t="shared" si="0"/>
        <v>61</v>
      </c>
      <c r="H53" s="2">
        <v>0</v>
      </c>
      <c r="I53" s="2">
        <v>1662</v>
      </c>
    </row>
    <row r="54" spans="1:9" ht="13.2">
      <c r="A54" s="2" t="s">
        <v>72</v>
      </c>
      <c r="B54" s="2" t="s">
        <v>73</v>
      </c>
      <c r="C54" s="2" t="s">
        <v>74</v>
      </c>
      <c r="D54" s="2" t="s">
        <v>15</v>
      </c>
      <c r="E54" s="2" t="s">
        <v>79</v>
      </c>
      <c r="F54" s="3">
        <f t="shared" si="0"/>
        <v>61</v>
      </c>
      <c r="H54" s="2">
        <v>0.64</v>
      </c>
      <c r="I54" s="2">
        <v>1639</v>
      </c>
    </row>
    <row r="55" spans="1:9" ht="13.2">
      <c r="A55" s="2" t="s">
        <v>72</v>
      </c>
      <c r="B55" s="2" t="s">
        <v>73</v>
      </c>
      <c r="C55" s="2" t="s">
        <v>74</v>
      </c>
      <c r="D55" s="2" t="s">
        <v>15</v>
      </c>
      <c r="E55" s="2" t="s">
        <v>80</v>
      </c>
      <c r="F55" s="3">
        <f t="shared" si="0"/>
        <v>65</v>
      </c>
      <c r="H55" s="2">
        <v>0.41</v>
      </c>
      <c r="I55" s="2">
        <v>1846</v>
      </c>
    </row>
    <row r="56" spans="1:9" ht="13.2">
      <c r="A56" s="2" t="s">
        <v>72</v>
      </c>
      <c r="B56" s="2" t="s">
        <v>73</v>
      </c>
      <c r="C56" s="2" t="s">
        <v>74</v>
      </c>
      <c r="D56" s="2" t="s">
        <v>19</v>
      </c>
      <c r="E56" s="2" t="s">
        <v>81</v>
      </c>
      <c r="F56" s="3">
        <f t="shared" si="0"/>
        <v>58</v>
      </c>
      <c r="H56" s="2">
        <v>0.22</v>
      </c>
      <c r="I56" s="2">
        <v>1259</v>
      </c>
    </row>
    <row r="57" spans="1:9" ht="13.2">
      <c r="A57" s="2" t="s">
        <v>72</v>
      </c>
      <c r="B57" s="2" t="s">
        <v>73</v>
      </c>
      <c r="C57" s="2" t="s">
        <v>74</v>
      </c>
      <c r="D57" s="2" t="s">
        <v>19</v>
      </c>
      <c r="E57" s="2" t="s">
        <v>82</v>
      </c>
      <c r="F57" s="3">
        <f t="shared" si="0"/>
        <v>64</v>
      </c>
      <c r="H57" s="2">
        <v>0.44</v>
      </c>
      <c r="I57" s="2">
        <v>1488</v>
      </c>
    </row>
    <row r="58" spans="1:9" ht="13.2">
      <c r="A58" s="2" t="s">
        <v>72</v>
      </c>
      <c r="B58" s="2" t="s">
        <v>73</v>
      </c>
      <c r="C58" s="2" t="s">
        <v>74</v>
      </c>
      <c r="D58" s="2" t="s">
        <v>19</v>
      </c>
      <c r="E58" s="2" t="s">
        <v>83</v>
      </c>
      <c r="F58" s="3">
        <f t="shared" si="0"/>
        <v>63</v>
      </c>
      <c r="H58" s="2">
        <v>0.18</v>
      </c>
      <c r="I58" s="2">
        <v>1633</v>
      </c>
    </row>
    <row r="59" spans="1:9" ht="13.2">
      <c r="A59" s="2" t="s">
        <v>72</v>
      </c>
      <c r="B59" s="2" t="s">
        <v>73</v>
      </c>
      <c r="C59" s="2" t="s">
        <v>74</v>
      </c>
      <c r="D59" s="2" t="s">
        <v>23</v>
      </c>
      <c r="E59" s="2" t="s">
        <v>84</v>
      </c>
      <c r="F59" s="3">
        <f t="shared" si="0"/>
        <v>60</v>
      </c>
      <c r="H59" s="2">
        <v>0</v>
      </c>
      <c r="I59" s="2">
        <v>1926</v>
      </c>
    </row>
    <row r="60" spans="1:9" ht="13.2">
      <c r="A60" s="2" t="s">
        <v>72</v>
      </c>
      <c r="B60" s="2" t="s">
        <v>73</v>
      </c>
      <c r="C60" s="2" t="s">
        <v>74</v>
      </c>
      <c r="D60" s="2" t="s">
        <v>23</v>
      </c>
      <c r="E60" s="2" t="s">
        <v>85</v>
      </c>
      <c r="F60" s="3">
        <f t="shared" si="0"/>
        <v>60</v>
      </c>
      <c r="H60" s="2">
        <v>0.08</v>
      </c>
      <c r="I60" s="2">
        <v>1854</v>
      </c>
    </row>
    <row r="61" spans="1:9" ht="13.2">
      <c r="A61" s="2" t="s">
        <v>72</v>
      </c>
      <c r="B61" s="2" t="s">
        <v>73</v>
      </c>
      <c r="C61" s="2" t="s">
        <v>74</v>
      </c>
      <c r="D61" s="2" t="s">
        <v>23</v>
      </c>
      <c r="E61" s="2" t="s">
        <v>86</v>
      </c>
      <c r="F61" s="3">
        <f t="shared" si="0"/>
        <v>64</v>
      </c>
      <c r="H61" s="2">
        <v>0</v>
      </c>
      <c r="I61" s="2">
        <v>1349</v>
      </c>
    </row>
    <row r="62" spans="1:9" ht="13.2">
      <c r="A62" s="2" t="s">
        <v>87</v>
      </c>
      <c r="B62" s="2" t="s">
        <v>88</v>
      </c>
      <c r="C62" s="2" t="s">
        <v>89</v>
      </c>
      <c r="D62" s="2" t="s">
        <v>19</v>
      </c>
      <c r="E62" s="2" t="s">
        <v>90</v>
      </c>
      <c r="F62" s="3">
        <f t="shared" si="0"/>
        <v>62</v>
      </c>
      <c r="H62" s="2">
        <v>0.54</v>
      </c>
      <c r="I62" s="2">
        <v>1429</v>
      </c>
    </row>
    <row r="63" spans="1:9" ht="13.2">
      <c r="A63" s="2" t="s">
        <v>87</v>
      </c>
      <c r="B63" s="2" t="s">
        <v>88</v>
      </c>
      <c r="C63" s="2" t="s">
        <v>89</v>
      </c>
      <c r="D63" s="2" t="s">
        <v>19</v>
      </c>
      <c r="E63" s="2" t="s">
        <v>91</v>
      </c>
      <c r="F63" s="3">
        <f t="shared" si="0"/>
        <v>62</v>
      </c>
      <c r="H63" s="2">
        <v>0.63</v>
      </c>
      <c r="I63" s="2">
        <v>1547</v>
      </c>
    </row>
    <row r="64" spans="1:9" ht="13.2">
      <c r="A64" s="2" t="s">
        <v>87</v>
      </c>
      <c r="B64" s="2" t="s">
        <v>88</v>
      </c>
      <c r="C64" s="2" t="s">
        <v>89</v>
      </c>
      <c r="D64" s="2" t="s">
        <v>19</v>
      </c>
      <c r="E64" s="2" t="s">
        <v>92</v>
      </c>
      <c r="F64" s="3">
        <f t="shared" si="0"/>
        <v>66</v>
      </c>
      <c r="H64" s="2">
        <v>0.57999999999999996</v>
      </c>
      <c r="I64" s="2">
        <v>1946</v>
      </c>
    </row>
    <row r="65" spans="1:9" ht="13.2">
      <c r="A65" s="2" t="s">
        <v>87</v>
      </c>
      <c r="B65" s="2" t="s">
        <v>88</v>
      </c>
      <c r="C65" s="2" t="s">
        <v>89</v>
      </c>
      <c r="D65" s="2" t="s">
        <v>23</v>
      </c>
      <c r="E65" s="2" t="s">
        <v>93</v>
      </c>
      <c r="F65" s="3">
        <f t="shared" si="0"/>
        <v>61</v>
      </c>
      <c r="H65" s="2">
        <v>0</v>
      </c>
      <c r="I65" s="2">
        <v>1286</v>
      </c>
    </row>
    <row r="66" spans="1:9" ht="13.2">
      <c r="A66" s="2" t="s">
        <v>87</v>
      </c>
      <c r="B66" s="2" t="s">
        <v>88</v>
      </c>
      <c r="C66" s="2" t="s">
        <v>89</v>
      </c>
      <c r="D66" s="2" t="s">
        <v>23</v>
      </c>
      <c r="E66" s="2" t="s">
        <v>94</v>
      </c>
      <c r="F66" s="3">
        <f t="shared" si="0"/>
        <v>65</v>
      </c>
      <c r="H66" s="2">
        <v>0.18</v>
      </c>
      <c r="I66" s="2">
        <v>2757</v>
      </c>
    </row>
    <row r="67" spans="1:9" ht="13.2">
      <c r="A67" s="2" t="s">
        <v>87</v>
      </c>
      <c r="B67" s="2" t="s">
        <v>88</v>
      </c>
      <c r="C67" s="2" t="s">
        <v>89</v>
      </c>
      <c r="D67" s="2" t="s">
        <v>23</v>
      </c>
      <c r="E67" s="2" t="s">
        <v>95</v>
      </c>
      <c r="F67" s="3">
        <f t="shared" si="0"/>
        <v>62</v>
      </c>
      <c r="H67" s="2">
        <v>0</v>
      </c>
      <c r="I67" s="2">
        <v>1390</v>
      </c>
    </row>
    <row r="68" spans="1:9" ht="13.2">
      <c r="A68" s="2" t="s">
        <v>87</v>
      </c>
      <c r="B68" s="2" t="s">
        <v>88</v>
      </c>
      <c r="C68" s="2" t="s">
        <v>89</v>
      </c>
      <c r="D68" s="2" t="s">
        <v>11</v>
      </c>
      <c r="E68" s="2" t="s">
        <v>96</v>
      </c>
      <c r="F68" s="3">
        <f t="shared" si="0"/>
        <v>57</v>
      </c>
      <c r="H68" s="2">
        <v>1</v>
      </c>
      <c r="I68" s="2">
        <v>1641</v>
      </c>
    </row>
    <row r="69" spans="1:9" ht="13.2">
      <c r="A69" s="2" t="s">
        <v>87</v>
      </c>
      <c r="B69" s="2" t="s">
        <v>88</v>
      </c>
      <c r="C69" s="2" t="s">
        <v>89</v>
      </c>
      <c r="D69" s="2" t="s">
        <v>11</v>
      </c>
      <c r="E69" s="2" t="s">
        <v>97</v>
      </c>
      <c r="F69" s="3">
        <f t="shared" si="0"/>
        <v>60</v>
      </c>
      <c r="H69" s="2">
        <v>1</v>
      </c>
      <c r="I69" s="2">
        <v>1138</v>
      </c>
    </row>
    <row r="70" spans="1:9" ht="13.2">
      <c r="A70" s="2" t="s">
        <v>87</v>
      </c>
      <c r="B70" s="2" t="s">
        <v>88</v>
      </c>
      <c r="C70" s="2" t="s">
        <v>89</v>
      </c>
      <c r="D70" s="2" t="s">
        <v>11</v>
      </c>
      <c r="E70" s="2" t="s">
        <v>98</v>
      </c>
      <c r="F70" s="3">
        <f t="shared" si="0"/>
        <v>62</v>
      </c>
      <c r="H70" s="2">
        <v>0.94</v>
      </c>
      <c r="I70" s="2">
        <v>1372</v>
      </c>
    </row>
    <row r="71" spans="1:9" ht="13.2">
      <c r="A71" s="2" t="s">
        <v>87</v>
      </c>
      <c r="B71" s="2" t="s">
        <v>88</v>
      </c>
      <c r="C71" s="2" t="s">
        <v>89</v>
      </c>
      <c r="D71" s="2" t="s">
        <v>15</v>
      </c>
      <c r="E71" s="2" t="s">
        <v>99</v>
      </c>
      <c r="F71" s="3">
        <f t="shared" si="0"/>
        <v>66</v>
      </c>
      <c r="H71" s="2">
        <v>0.62</v>
      </c>
      <c r="I71" s="2">
        <v>2419</v>
      </c>
    </row>
    <row r="72" spans="1:9" ht="13.2">
      <c r="A72" s="2" t="s">
        <v>87</v>
      </c>
      <c r="B72" s="2" t="s">
        <v>88</v>
      </c>
      <c r="C72" s="2" t="s">
        <v>89</v>
      </c>
      <c r="D72" s="2" t="s">
        <v>15</v>
      </c>
      <c r="E72" s="2" t="s">
        <v>100</v>
      </c>
      <c r="F72" s="3">
        <f t="shared" si="0"/>
        <v>61</v>
      </c>
      <c r="H72" s="2">
        <v>0.5</v>
      </c>
      <c r="I72" s="2">
        <v>1708</v>
      </c>
    </row>
    <row r="73" spans="1:9" ht="13.2">
      <c r="A73" s="2" t="s">
        <v>87</v>
      </c>
      <c r="B73" s="2" t="s">
        <v>88</v>
      </c>
      <c r="C73" s="2" t="s">
        <v>89</v>
      </c>
      <c r="D73" s="2" t="s">
        <v>15</v>
      </c>
      <c r="E73" s="2" t="s">
        <v>101</v>
      </c>
      <c r="F73" s="3">
        <f t="shared" si="0"/>
        <v>65</v>
      </c>
      <c r="H73" s="2">
        <v>0.4</v>
      </c>
      <c r="I73" s="2">
        <v>1392</v>
      </c>
    </row>
    <row r="74" spans="1:9" ht="13.2">
      <c r="A74" s="2" t="s">
        <v>102</v>
      </c>
      <c r="B74" s="2" t="s">
        <v>103</v>
      </c>
      <c r="C74" s="2" t="s">
        <v>104</v>
      </c>
      <c r="D74" s="2" t="s">
        <v>23</v>
      </c>
      <c r="E74" s="2" t="s">
        <v>105</v>
      </c>
      <c r="F74" s="3">
        <f t="shared" si="0"/>
        <v>62</v>
      </c>
      <c r="H74" s="2">
        <v>0.15</v>
      </c>
      <c r="I74" s="2">
        <v>1191</v>
      </c>
    </row>
    <row r="75" spans="1:9" ht="13.2">
      <c r="A75" s="2" t="s">
        <v>102</v>
      </c>
      <c r="B75" s="2" t="s">
        <v>103</v>
      </c>
      <c r="C75" s="2" t="s">
        <v>104</v>
      </c>
      <c r="D75" s="2" t="s">
        <v>23</v>
      </c>
      <c r="E75" s="2" t="s">
        <v>106</v>
      </c>
      <c r="F75" s="3">
        <f t="shared" si="0"/>
        <v>66</v>
      </c>
      <c r="H75" s="2">
        <v>0.19</v>
      </c>
      <c r="I75" s="2">
        <v>1580</v>
      </c>
    </row>
    <row r="76" spans="1:9" ht="13.2">
      <c r="A76" s="2" t="s">
        <v>102</v>
      </c>
      <c r="B76" s="2" t="s">
        <v>103</v>
      </c>
      <c r="C76" s="2" t="s">
        <v>104</v>
      </c>
      <c r="D76" s="2" t="s">
        <v>23</v>
      </c>
      <c r="E76" s="2" t="s">
        <v>107</v>
      </c>
      <c r="F76" s="3">
        <f t="shared" si="0"/>
        <v>65</v>
      </c>
      <c r="H76" s="2">
        <v>0.17</v>
      </c>
      <c r="I76" s="2">
        <v>1298</v>
      </c>
    </row>
    <row r="77" spans="1:9" ht="13.2">
      <c r="A77" s="2" t="s">
        <v>102</v>
      </c>
      <c r="B77" s="2" t="s">
        <v>103</v>
      </c>
      <c r="C77" s="2" t="s">
        <v>104</v>
      </c>
      <c r="D77" s="2" t="s">
        <v>11</v>
      </c>
      <c r="E77" s="2" t="s">
        <v>108</v>
      </c>
      <c r="F77" s="3">
        <f t="shared" si="0"/>
        <v>63</v>
      </c>
      <c r="H77" s="2">
        <v>0.82</v>
      </c>
      <c r="I77" s="2">
        <v>1738</v>
      </c>
    </row>
    <row r="78" spans="1:9" ht="13.2">
      <c r="A78" s="2" t="s">
        <v>102</v>
      </c>
      <c r="B78" s="2" t="s">
        <v>103</v>
      </c>
      <c r="C78" s="2" t="s">
        <v>104</v>
      </c>
      <c r="D78" s="2" t="s">
        <v>11</v>
      </c>
      <c r="E78" s="2" t="s">
        <v>109</v>
      </c>
      <c r="F78" s="3">
        <f t="shared" si="0"/>
        <v>68</v>
      </c>
      <c r="H78" s="2">
        <v>0.91</v>
      </c>
      <c r="I78" s="2">
        <v>1597</v>
      </c>
    </row>
    <row r="79" spans="1:9" ht="13.2">
      <c r="A79" s="2" t="s">
        <v>102</v>
      </c>
      <c r="B79" s="2" t="s">
        <v>103</v>
      </c>
      <c r="C79" s="2" t="s">
        <v>104</v>
      </c>
      <c r="D79" s="2" t="s">
        <v>11</v>
      </c>
      <c r="E79" s="2" t="s">
        <v>110</v>
      </c>
      <c r="F79" s="3">
        <f t="shared" si="0"/>
        <v>64</v>
      </c>
      <c r="H79" s="2">
        <v>0.82</v>
      </c>
      <c r="I79" s="2">
        <v>1401</v>
      </c>
    </row>
    <row r="80" spans="1:9" ht="13.2">
      <c r="A80" s="2" t="s">
        <v>102</v>
      </c>
      <c r="B80" s="2" t="s">
        <v>103</v>
      </c>
      <c r="C80" s="2" t="s">
        <v>104</v>
      </c>
      <c r="D80" s="2" t="s">
        <v>15</v>
      </c>
      <c r="E80" s="2" t="s">
        <v>111</v>
      </c>
      <c r="F80" s="3">
        <f t="shared" si="0"/>
        <v>61</v>
      </c>
      <c r="H80" s="2">
        <v>0.22</v>
      </c>
      <c r="I80" s="2">
        <v>1618</v>
      </c>
    </row>
    <row r="81" spans="1:9" ht="13.2">
      <c r="A81" s="2" t="s">
        <v>102</v>
      </c>
      <c r="B81" s="2" t="s">
        <v>103</v>
      </c>
      <c r="C81" s="2" t="s">
        <v>104</v>
      </c>
      <c r="D81" s="2" t="s">
        <v>15</v>
      </c>
      <c r="E81" s="2" t="s">
        <v>112</v>
      </c>
      <c r="F81" s="3">
        <f t="shared" si="0"/>
        <v>62</v>
      </c>
      <c r="H81" s="2">
        <v>0.63</v>
      </c>
      <c r="I81" s="2">
        <v>1484</v>
      </c>
    </row>
    <row r="82" spans="1:9" ht="13.2">
      <c r="A82" s="2" t="s">
        <v>102</v>
      </c>
      <c r="B82" s="2" t="s">
        <v>103</v>
      </c>
      <c r="C82" s="2" t="s">
        <v>104</v>
      </c>
      <c r="D82" s="2" t="s">
        <v>15</v>
      </c>
      <c r="E82" s="2" t="s">
        <v>113</v>
      </c>
      <c r="F82" s="3">
        <f t="shared" si="0"/>
        <v>65</v>
      </c>
      <c r="H82" s="2">
        <v>0.35</v>
      </c>
      <c r="I82" s="2">
        <v>1768</v>
      </c>
    </row>
    <row r="83" spans="1:9" ht="13.2">
      <c r="A83" s="2" t="s">
        <v>102</v>
      </c>
      <c r="B83" s="2" t="s">
        <v>103</v>
      </c>
      <c r="C83" s="2" t="s">
        <v>104</v>
      </c>
      <c r="D83" s="2" t="s">
        <v>19</v>
      </c>
      <c r="E83" s="2" t="s">
        <v>114</v>
      </c>
      <c r="F83" s="3">
        <f t="shared" si="0"/>
        <v>63</v>
      </c>
      <c r="H83" s="2">
        <v>0.23</v>
      </c>
      <c r="I83" s="2">
        <v>1535</v>
      </c>
    </row>
    <row r="84" spans="1:9" ht="13.2">
      <c r="A84" s="2" t="s">
        <v>102</v>
      </c>
      <c r="B84" s="2" t="s">
        <v>103</v>
      </c>
      <c r="C84" s="2" t="s">
        <v>104</v>
      </c>
      <c r="D84" s="2" t="s">
        <v>19</v>
      </c>
      <c r="E84" s="2" t="s">
        <v>115</v>
      </c>
      <c r="F84" s="3">
        <f t="shared" si="0"/>
        <v>68</v>
      </c>
      <c r="H84" s="2">
        <v>0.57999999999999996</v>
      </c>
      <c r="I84" s="2">
        <v>2507</v>
      </c>
    </row>
    <row r="85" spans="1:9" ht="13.2">
      <c r="A85" s="2" t="s">
        <v>102</v>
      </c>
      <c r="B85" s="2" t="s">
        <v>103</v>
      </c>
      <c r="C85" s="2" t="s">
        <v>104</v>
      </c>
      <c r="D85" s="2" t="s">
        <v>19</v>
      </c>
      <c r="E85" s="2" t="s">
        <v>116</v>
      </c>
      <c r="F85" s="3">
        <f t="shared" si="0"/>
        <v>64</v>
      </c>
      <c r="H85" s="2">
        <v>0.4</v>
      </c>
      <c r="I85" s="2">
        <v>1663</v>
      </c>
    </row>
    <row r="86" spans="1:9" ht="13.2">
      <c r="A86" s="2" t="s">
        <v>117</v>
      </c>
      <c r="B86" s="2" t="s">
        <v>118</v>
      </c>
      <c r="C86" s="2" t="s">
        <v>119</v>
      </c>
      <c r="D86" s="2" t="s">
        <v>23</v>
      </c>
      <c r="E86" s="5" t="s">
        <v>120</v>
      </c>
      <c r="F86" s="3">
        <f t="shared" si="0"/>
        <v>64</v>
      </c>
    </row>
    <row r="87" spans="1:9" ht="13.2">
      <c r="A87" s="2" t="s">
        <v>117</v>
      </c>
      <c r="B87" s="2" t="s">
        <v>118</v>
      </c>
      <c r="C87" s="2" t="s">
        <v>119</v>
      </c>
      <c r="D87" s="2" t="s">
        <v>23</v>
      </c>
      <c r="E87" s="5" t="s">
        <v>121</v>
      </c>
      <c r="F87" s="3">
        <f t="shared" si="0"/>
        <v>61</v>
      </c>
    </row>
    <row r="88" spans="1:9" ht="13.2">
      <c r="A88" s="2" t="s">
        <v>117</v>
      </c>
      <c r="B88" s="2" t="s">
        <v>118</v>
      </c>
      <c r="C88" s="2" t="s">
        <v>119</v>
      </c>
      <c r="D88" s="2" t="s">
        <v>23</v>
      </c>
      <c r="E88" s="5" t="s">
        <v>122</v>
      </c>
      <c r="F88" s="3">
        <f t="shared" si="0"/>
        <v>66</v>
      </c>
    </row>
    <row r="89" spans="1:9" ht="13.2">
      <c r="A89" s="2" t="s">
        <v>117</v>
      </c>
      <c r="B89" s="2" t="s">
        <v>118</v>
      </c>
      <c r="C89" s="2" t="s">
        <v>119</v>
      </c>
      <c r="D89" s="2" t="s">
        <v>11</v>
      </c>
      <c r="E89" s="2" t="s">
        <v>123</v>
      </c>
      <c r="F89" s="3">
        <f t="shared" si="0"/>
        <v>68</v>
      </c>
    </row>
    <row r="90" spans="1:9" ht="13.2">
      <c r="A90" s="2" t="s">
        <v>117</v>
      </c>
      <c r="B90" s="2" t="s">
        <v>118</v>
      </c>
      <c r="C90" s="2" t="s">
        <v>119</v>
      </c>
      <c r="D90" s="2" t="s">
        <v>11</v>
      </c>
      <c r="E90" s="2" t="s">
        <v>124</v>
      </c>
      <c r="F90" s="3">
        <f t="shared" si="0"/>
        <v>67</v>
      </c>
    </row>
    <row r="91" spans="1:9" ht="13.2">
      <c r="A91" s="2" t="s">
        <v>117</v>
      </c>
      <c r="B91" s="2" t="s">
        <v>118</v>
      </c>
      <c r="C91" s="2" t="s">
        <v>119</v>
      </c>
      <c r="D91" s="2" t="s">
        <v>11</v>
      </c>
      <c r="E91" s="5" t="s">
        <v>125</v>
      </c>
      <c r="F91" s="3">
        <f t="shared" si="0"/>
        <v>64</v>
      </c>
    </row>
    <row r="92" spans="1:9" ht="13.2">
      <c r="A92" s="2" t="s">
        <v>117</v>
      </c>
      <c r="B92" s="2" t="s">
        <v>118</v>
      </c>
      <c r="C92" s="2" t="s">
        <v>119</v>
      </c>
      <c r="D92" s="2" t="s">
        <v>15</v>
      </c>
      <c r="E92" s="2" t="s">
        <v>126</v>
      </c>
      <c r="F92" s="3">
        <f t="shared" si="0"/>
        <v>63</v>
      </c>
    </row>
    <row r="93" spans="1:9" ht="13.2">
      <c r="A93" s="2" t="s">
        <v>117</v>
      </c>
      <c r="B93" s="2" t="s">
        <v>118</v>
      </c>
      <c r="C93" s="2" t="s">
        <v>119</v>
      </c>
      <c r="D93" s="2" t="s">
        <v>15</v>
      </c>
      <c r="E93" s="2" t="s">
        <v>127</v>
      </c>
      <c r="F93" s="3">
        <f t="shared" si="0"/>
        <v>60</v>
      </c>
    </row>
    <row r="94" spans="1:9" ht="13.2">
      <c r="A94" s="2" t="s">
        <v>117</v>
      </c>
      <c r="B94" s="2" t="s">
        <v>118</v>
      </c>
      <c r="C94" s="2" t="s">
        <v>119</v>
      </c>
      <c r="D94" s="2" t="s">
        <v>15</v>
      </c>
      <c r="E94" s="2" t="s">
        <v>128</v>
      </c>
      <c r="F94" s="3">
        <f t="shared" si="0"/>
        <v>67</v>
      </c>
    </row>
    <row r="95" spans="1:9" ht="13.2">
      <c r="A95" s="2" t="s">
        <v>117</v>
      </c>
      <c r="B95" s="2" t="s">
        <v>118</v>
      </c>
      <c r="C95" s="2" t="s">
        <v>119</v>
      </c>
      <c r="D95" s="2" t="s">
        <v>19</v>
      </c>
      <c r="E95" s="5" t="s">
        <v>129</v>
      </c>
      <c r="F95" s="3">
        <f t="shared" si="0"/>
        <v>62</v>
      </c>
    </row>
    <row r="96" spans="1:9" ht="13.2">
      <c r="A96" s="2" t="s">
        <v>117</v>
      </c>
      <c r="B96" s="2" t="s">
        <v>118</v>
      </c>
      <c r="C96" s="2" t="s">
        <v>119</v>
      </c>
      <c r="D96" s="2" t="s">
        <v>19</v>
      </c>
      <c r="E96" s="2" t="s">
        <v>130</v>
      </c>
      <c r="F96" s="3">
        <f t="shared" si="0"/>
        <v>74</v>
      </c>
    </row>
    <row r="97" spans="1:9" ht="13.2">
      <c r="A97" s="2" t="s">
        <v>117</v>
      </c>
      <c r="B97" s="2" t="s">
        <v>118</v>
      </c>
      <c r="C97" s="2" t="s">
        <v>119</v>
      </c>
      <c r="D97" s="2" t="s">
        <v>19</v>
      </c>
      <c r="E97" s="2" t="s">
        <v>131</v>
      </c>
      <c r="F97" s="3">
        <f t="shared" si="0"/>
        <v>62</v>
      </c>
    </row>
    <row r="100" spans="1:9" ht="13.2">
      <c r="F100" s="1" t="s">
        <v>132</v>
      </c>
      <c r="G100" s="1" t="s">
        <v>133</v>
      </c>
    </row>
    <row r="101" spans="1:9" ht="13.2">
      <c r="E101" s="2" t="s">
        <v>134</v>
      </c>
      <c r="F101" s="6">
        <f>AVERAGE(F2:F97)</f>
        <v>61.78125</v>
      </c>
      <c r="G101" s="7">
        <f>_xlfn.STDEV.S(F2:F85)</f>
        <v>3.5887845632501865</v>
      </c>
      <c r="H101" s="6">
        <f>AVERAGE(H2:H85)</f>
        <v>0.47214285714285692</v>
      </c>
      <c r="I101" s="6">
        <f>MEDIAN(I2:I85)</f>
        <v>1526.5</v>
      </c>
    </row>
    <row r="102" spans="1:9" ht="13.2">
      <c r="E102" s="2" t="s">
        <v>11</v>
      </c>
      <c r="F102" s="6">
        <f>AVERAGE(F2:F4,F23:F25,F32:F34,F42:F44,F50:F52,F68:F70,F77:F79,F89:F91)</f>
        <v>61.666666666666664</v>
      </c>
      <c r="G102" s="7">
        <f>_xlfn.STDEV.S(F2:F4,F23:F25,F32:F34,F42:F44,F50:F52,F68:F70,F77:F79)</f>
        <v>3.9623225512317899</v>
      </c>
      <c r="H102" s="6">
        <f t="shared" ref="H102:I102" si="1">AVERAGE(H2:H4,H23:H25,H32:H34,H42:H44,H50:H52,H68:H70,H77:H79)</f>
        <v>0.92714285714285705</v>
      </c>
      <c r="I102" s="6">
        <f t="shared" si="1"/>
        <v>1307.1428571428571</v>
      </c>
    </row>
    <row r="103" spans="1:9" ht="13.2">
      <c r="E103" s="2" t="s">
        <v>23</v>
      </c>
      <c r="F103" s="6">
        <f>AVERAGE(F11:F13,F20:F22,F29:F31,F38:F40,F59:F61,F65:F67,F75:F76,F86:F88)</f>
        <v>61.304347826086953</v>
      </c>
      <c r="G103" s="7">
        <f>_xlfn.STDEV.S(F11:F13,F20:F22,F29:F31,F38:F40,F59:F61,F65:F67)</f>
        <v>2.8122049591070248</v>
      </c>
      <c r="H103" s="6">
        <f>AVERAGE(H11:H13,H20:H22,H29:H31,H38:H40,H59:H61,H65:H67,H74:H76)</f>
        <v>7.3809523809523797E-2</v>
      </c>
      <c r="I103" s="6">
        <f>AVERAGE(I11:I13,I20:I22,I29:I31,I38:I40,I59:I61,I65:I67,I75:I76)</f>
        <v>1694.1</v>
      </c>
    </row>
    <row r="104" spans="1:9" ht="13.2">
      <c r="E104" s="2" t="s">
        <v>15</v>
      </c>
      <c r="F104" s="6">
        <f>AVERAGE(F5:F7,F14:F16,F35:F37,F44:F46,F53:F55,F71:F73,F80:F82,F92:F94)</f>
        <v>62.541666666666664</v>
      </c>
      <c r="G104" s="7">
        <f>_xlfn.STDEV.S(F5:F7,F14:F16,F35:F37,F44:F46,F53:F55,F71:F73,F80:F82)</f>
        <v>3.4579101863904542</v>
      </c>
      <c r="H104" s="6">
        <f t="shared" ref="H104:I104" si="2">AVERAGE(H5:H7,H14:H16,H35:H37,H44:H46,H53:H55,H71:H73,H80:H82)</f>
        <v>0.51904761904761909</v>
      </c>
      <c r="I104" s="6">
        <f t="shared" si="2"/>
        <v>1618.6190476190477</v>
      </c>
    </row>
    <row r="105" spans="1:9" ht="13.2">
      <c r="E105" s="2" t="s">
        <v>19</v>
      </c>
      <c r="F105" s="6">
        <f>AVERAGE(F8:F10,F17:F19,F26:F28,F47:F49,F56:F58,F62:F64,F83:F85,F95:F97)</f>
        <v>61.875</v>
      </c>
      <c r="G105" s="7">
        <f>_xlfn.STDEV.S(F8:F10,F17:F19,F26:F28,F47:F49,F56:F58,F62:F64,F83:F85)</f>
        <v>4.0017853158666217</v>
      </c>
      <c r="H105" s="6">
        <f t="shared" ref="H105:I105" si="3">AVERAGE(H8:H10,H17:H19,H26:H28,H47:H49,H56:H58,H62:H64,H83:H85)</f>
        <v>0.35809523809523813</v>
      </c>
      <c r="I105" s="6">
        <f t="shared" si="3"/>
        <v>1668.4285714285713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7"/>
  <sheetViews>
    <sheetView workbookViewId="0"/>
  </sheetViews>
  <sheetFormatPr baseColWidth="10" defaultColWidth="12.6640625" defaultRowHeight="15.75" customHeight="1"/>
  <cols>
    <col min="5" max="5" width="4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f t="shared" ref="F2:F97" si="0">LEN(E2)</f>
        <v>57</v>
      </c>
      <c r="G2" s="1" t="s">
        <v>135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13</v>
      </c>
      <c r="F3" s="3">
        <f t="shared" si="0"/>
        <v>52</v>
      </c>
      <c r="G3" s="1" t="s">
        <v>135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14</v>
      </c>
      <c r="F4" s="3">
        <f t="shared" si="0"/>
        <v>53</v>
      </c>
      <c r="G4" s="1" t="s">
        <v>135</v>
      </c>
    </row>
    <row r="5" spans="1:8">
      <c r="A5" s="2" t="s">
        <v>8</v>
      </c>
      <c r="B5" s="2" t="s">
        <v>9</v>
      </c>
      <c r="C5" s="2" t="s">
        <v>10</v>
      </c>
      <c r="D5" s="2" t="s">
        <v>15</v>
      </c>
      <c r="E5" s="2" t="s">
        <v>16</v>
      </c>
      <c r="F5" s="3">
        <f t="shared" si="0"/>
        <v>56</v>
      </c>
      <c r="G5" s="1" t="s">
        <v>136</v>
      </c>
      <c r="H5" s="2" t="s">
        <v>137</v>
      </c>
    </row>
    <row r="6" spans="1:8">
      <c r="A6" s="2" t="s">
        <v>8</v>
      </c>
      <c r="B6" s="2" t="s">
        <v>9</v>
      </c>
      <c r="C6" s="2" t="s">
        <v>10</v>
      </c>
      <c r="D6" s="2" t="s">
        <v>15</v>
      </c>
      <c r="E6" s="2" t="s">
        <v>17</v>
      </c>
      <c r="F6" s="3">
        <f t="shared" si="0"/>
        <v>57</v>
      </c>
      <c r="H6" s="2" t="s">
        <v>137</v>
      </c>
    </row>
    <row r="7" spans="1:8">
      <c r="A7" s="2" t="s">
        <v>8</v>
      </c>
      <c r="B7" s="2" t="s">
        <v>9</v>
      </c>
      <c r="C7" s="2" t="s">
        <v>10</v>
      </c>
      <c r="D7" s="2" t="s">
        <v>15</v>
      </c>
      <c r="E7" s="2" t="s">
        <v>18</v>
      </c>
      <c r="F7" s="3">
        <f t="shared" si="0"/>
        <v>57</v>
      </c>
      <c r="H7" s="2" t="s">
        <v>137</v>
      </c>
    </row>
    <row r="8" spans="1:8">
      <c r="A8" s="2" t="s">
        <v>8</v>
      </c>
      <c r="B8" s="2" t="s">
        <v>9</v>
      </c>
      <c r="C8" s="2" t="s">
        <v>10</v>
      </c>
      <c r="D8" s="2" t="s">
        <v>19</v>
      </c>
      <c r="E8" s="2" t="s">
        <v>20</v>
      </c>
      <c r="F8" s="3">
        <f t="shared" si="0"/>
        <v>54</v>
      </c>
      <c r="G8" s="1" t="s">
        <v>136</v>
      </c>
      <c r="H8" s="2" t="s">
        <v>137</v>
      </c>
    </row>
    <row r="9" spans="1:8">
      <c r="A9" s="2" t="s">
        <v>8</v>
      </c>
      <c r="B9" s="2" t="s">
        <v>9</v>
      </c>
      <c r="C9" s="2" t="s">
        <v>10</v>
      </c>
      <c r="D9" s="2" t="s">
        <v>19</v>
      </c>
      <c r="E9" s="2" t="s">
        <v>21</v>
      </c>
      <c r="F9" s="3">
        <f t="shared" si="0"/>
        <v>56</v>
      </c>
      <c r="H9" s="2" t="s">
        <v>137</v>
      </c>
    </row>
    <row r="10" spans="1:8">
      <c r="A10" s="2" t="s">
        <v>8</v>
      </c>
      <c r="B10" s="2" t="s">
        <v>9</v>
      </c>
      <c r="C10" s="2" t="s">
        <v>10</v>
      </c>
      <c r="D10" s="2" t="s">
        <v>19</v>
      </c>
      <c r="E10" s="2" t="s">
        <v>22</v>
      </c>
      <c r="F10" s="3">
        <f t="shared" si="0"/>
        <v>59</v>
      </c>
      <c r="H10" s="2" t="s">
        <v>137</v>
      </c>
    </row>
    <row r="11" spans="1:8">
      <c r="A11" s="2" t="s">
        <v>8</v>
      </c>
      <c r="B11" s="2" t="s">
        <v>9</v>
      </c>
      <c r="C11" s="2" t="s">
        <v>10</v>
      </c>
      <c r="D11" s="2" t="s">
        <v>23</v>
      </c>
      <c r="E11" s="2" t="s">
        <v>24</v>
      </c>
      <c r="F11" s="3">
        <f t="shared" si="0"/>
        <v>57</v>
      </c>
      <c r="G11" s="1" t="s">
        <v>135</v>
      </c>
    </row>
    <row r="12" spans="1:8">
      <c r="A12" s="2" t="s">
        <v>8</v>
      </c>
      <c r="B12" s="2" t="s">
        <v>9</v>
      </c>
      <c r="C12" s="2" t="s">
        <v>10</v>
      </c>
      <c r="D12" s="2" t="s">
        <v>23</v>
      </c>
      <c r="E12" s="2" t="s">
        <v>25</v>
      </c>
      <c r="F12" s="3">
        <f t="shared" si="0"/>
        <v>56</v>
      </c>
      <c r="G12" s="1" t="s">
        <v>135</v>
      </c>
    </row>
    <row r="13" spans="1:8">
      <c r="A13" s="2" t="s">
        <v>8</v>
      </c>
      <c r="B13" s="2" t="s">
        <v>9</v>
      </c>
      <c r="C13" s="2" t="s">
        <v>10</v>
      </c>
      <c r="D13" s="2" t="s">
        <v>23</v>
      </c>
      <c r="E13" s="2" t="s">
        <v>26</v>
      </c>
      <c r="F13" s="3">
        <f t="shared" si="0"/>
        <v>56</v>
      </c>
      <c r="G13" s="1" t="s">
        <v>135</v>
      </c>
    </row>
    <row r="14" spans="1:8">
      <c r="A14" s="2" t="s">
        <v>27</v>
      </c>
      <c r="B14" s="2" t="s">
        <v>28</v>
      </c>
      <c r="C14" s="2" t="s">
        <v>29</v>
      </c>
      <c r="D14" s="2" t="s">
        <v>15</v>
      </c>
      <c r="E14" s="2" t="s">
        <v>30</v>
      </c>
      <c r="F14" s="3">
        <f t="shared" si="0"/>
        <v>64</v>
      </c>
      <c r="G14" s="1" t="s">
        <v>135</v>
      </c>
    </row>
    <row r="15" spans="1:8">
      <c r="A15" s="2" t="s">
        <v>27</v>
      </c>
      <c r="B15" s="2" t="s">
        <v>28</v>
      </c>
      <c r="C15" s="2" t="s">
        <v>29</v>
      </c>
      <c r="D15" s="2" t="s">
        <v>15</v>
      </c>
      <c r="E15" s="2" t="s">
        <v>31</v>
      </c>
      <c r="F15" s="3">
        <f t="shared" si="0"/>
        <v>56</v>
      </c>
      <c r="G15" s="1" t="s">
        <v>135</v>
      </c>
    </row>
    <row r="16" spans="1:8">
      <c r="A16" s="2" t="s">
        <v>27</v>
      </c>
      <c r="B16" s="2" t="s">
        <v>28</v>
      </c>
      <c r="C16" s="2" t="s">
        <v>29</v>
      </c>
      <c r="D16" s="2" t="s">
        <v>15</v>
      </c>
      <c r="E16" s="2" t="s">
        <v>32</v>
      </c>
      <c r="F16" s="3">
        <f t="shared" si="0"/>
        <v>62</v>
      </c>
      <c r="G16" s="1" t="s">
        <v>135</v>
      </c>
    </row>
    <row r="17" spans="1:7">
      <c r="A17" s="2" t="s">
        <v>27</v>
      </c>
      <c r="B17" s="2" t="s">
        <v>28</v>
      </c>
      <c r="C17" s="2" t="s">
        <v>29</v>
      </c>
      <c r="D17" s="2" t="s">
        <v>19</v>
      </c>
      <c r="E17" s="2" t="s">
        <v>33</v>
      </c>
      <c r="F17" s="3">
        <f t="shared" si="0"/>
        <v>59</v>
      </c>
      <c r="G17" s="1" t="s">
        <v>136</v>
      </c>
    </row>
    <row r="18" spans="1:7">
      <c r="A18" s="2" t="s">
        <v>27</v>
      </c>
      <c r="B18" s="2" t="s">
        <v>28</v>
      </c>
      <c r="C18" s="2" t="s">
        <v>29</v>
      </c>
      <c r="D18" s="2" t="s">
        <v>19</v>
      </c>
      <c r="E18" s="2" t="s">
        <v>34</v>
      </c>
      <c r="F18" s="3">
        <f t="shared" si="0"/>
        <v>55</v>
      </c>
    </row>
    <row r="19" spans="1:7">
      <c r="A19" s="2" t="s">
        <v>27</v>
      </c>
      <c r="B19" s="2" t="s">
        <v>28</v>
      </c>
      <c r="C19" s="2" t="s">
        <v>29</v>
      </c>
      <c r="D19" s="2" t="s">
        <v>19</v>
      </c>
      <c r="E19" s="2" t="s">
        <v>35</v>
      </c>
      <c r="F19" s="3">
        <f t="shared" si="0"/>
        <v>57</v>
      </c>
    </row>
    <row r="20" spans="1:7">
      <c r="A20" s="2" t="s">
        <v>27</v>
      </c>
      <c r="B20" s="2" t="s">
        <v>28</v>
      </c>
      <c r="C20" s="2" t="s">
        <v>29</v>
      </c>
      <c r="D20" s="2" t="s">
        <v>23</v>
      </c>
      <c r="E20" s="2" t="s">
        <v>36</v>
      </c>
      <c r="F20" s="3">
        <f t="shared" si="0"/>
        <v>58</v>
      </c>
      <c r="G20" s="1" t="s">
        <v>136</v>
      </c>
    </row>
    <row r="21" spans="1:7">
      <c r="A21" s="2" t="s">
        <v>27</v>
      </c>
      <c r="B21" s="2" t="s">
        <v>28</v>
      </c>
      <c r="C21" s="2" t="s">
        <v>29</v>
      </c>
      <c r="D21" s="2" t="s">
        <v>23</v>
      </c>
      <c r="E21" s="2" t="s">
        <v>37</v>
      </c>
      <c r="F21" s="3">
        <f t="shared" si="0"/>
        <v>60</v>
      </c>
    </row>
    <row r="22" spans="1:7">
      <c r="A22" s="2" t="s">
        <v>27</v>
      </c>
      <c r="B22" s="2" t="s">
        <v>28</v>
      </c>
      <c r="C22" s="2" t="s">
        <v>29</v>
      </c>
      <c r="D22" s="2" t="s">
        <v>23</v>
      </c>
      <c r="E22" s="2" t="s">
        <v>38</v>
      </c>
      <c r="F22" s="3">
        <f t="shared" si="0"/>
        <v>56</v>
      </c>
    </row>
    <row r="23" spans="1:7">
      <c r="A23" s="2" t="s">
        <v>27</v>
      </c>
      <c r="B23" s="2" t="s">
        <v>28</v>
      </c>
      <c r="C23" s="2" t="s">
        <v>29</v>
      </c>
      <c r="D23" s="2" t="s">
        <v>11</v>
      </c>
      <c r="E23" s="2" t="s">
        <v>39</v>
      </c>
      <c r="F23" s="3">
        <f t="shared" si="0"/>
        <v>60</v>
      </c>
      <c r="G23" s="1" t="s">
        <v>135</v>
      </c>
    </row>
    <row r="24" spans="1:7">
      <c r="A24" s="2" t="s">
        <v>27</v>
      </c>
      <c r="B24" s="2" t="s">
        <v>28</v>
      </c>
      <c r="C24" s="2" t="s">
        <v>29</v>
      </c>
      <c r="D24" s="2" t="s">
        <v>11</v>
      </c>
      <c r="E24" s="2" t="s">
        <v>40</v>
      </c>
      <c r="F24" s="3">
        <f t="shared" si="0"/>
        <v>61</v>
      </c>
      <c r="G24" s="1" t="s">
        <v>135</v>
      </c>
    </row>
    <row r="25" spans="1:7">
      <c r="A25" s="2" t="s">
        <v>27</v>
      </c>
      <c r="B25" s="2" t="s">
        <v>28</v>
      </c>
      <c r="C25" s="2" t="s">
        <v>29</v>
      </c>
      <c r="D25" s="2" t="s">
        <v>11</v>
      </c>
      <c r="E25" s="2" t="s">
        <v>41</v>
      </c>
      <c r="F25" s="3">
        <f t="shared" si="0"/>
        <v>61</v>
      </c>
      <c r="G25" s="1" t="s">
        <v>135</v>
      </c>
    </row>
    <row r="26" spans="1:7">
      <c r="A26" s="2" t="s">
        <v>42</v>
      </c>
      <c r="B26" s="2" t="s">
        <v>43</v>
      </c>
      <c r="C26" s="2" t="s">
        <v>44</v>
      </c>
      <c r="D26" s="2" t="s">
        <v>19</v>
      </c>
      <c r="E26" s="2" t="s">
        <v>45</v>
      </c>
      <c r="F26" s="3">
        <f t="shared" si="0"/>
        <v>63</v>
      </c>
      <c r="G26" s="1" t="s">
        <v>135</v>
      </c>
    </row>
    <row r="27" spans="1:7">
      <c r="A27" s="2" t="s">
        <v>42</v>
      </c>
      <c r="B27" s="2" t="s">
        <v>43</v>
      </c>
      <c r="C27" s="2" t="s">
        <v>44</v>
      </c>
      <c r="D27" s="2" t="s">
        <v>19</v>
      </c>
      <c r="E27" s="2" t="s">
        <v>46</v>
      </c>
      <c r="F27" s="3">
        <f t="shared" si="0"/>
        <v>57</v>
      </c>
      <c r="G27" s="1" t="s">
        <v>135</v>
      </c>
    </row>
    <row r="28" spans="1:7">
      <c r="A28" s="2" t="s">
        <v>42</v>
      </c>
      <c r="B28" s="2" t="s">
        <v>43</v>
      </c>
      <c r="C28" s="2" t="s">
        <v>44</v>
      </c>
      <c r="D28" s="2" t="s">
        <v>19</v>
      </c>
      <c r="E28" s="2" t="s">
        <v>47</v>
      </c>
      <c r="F28" s="3">
        <f t="shared" si="0"/>
        <v>62</v>
      </c>
      <c r="G28" s="1" t="s">
        <v>135</v>
      </c>
    </row>
    <row r="29" spans="1:7">
      <c r="A29" s="2" t="s">
        <v>42</v>
      </c>
      <c r="B29" s="2" t="s">
        <v>43</v>
      </c>
      <c r="C29" s="2" t="s">
        <v>44</v>
      </c>
      <c r="D29" s="2" t="s">
        <v>23</v>
      </c>
      <c r="E29" s="2" t="s">
        <v>48</v>
      </c>
      <c r="F29" s="3">
        <f t="shared" si="0"/>
        <v>61</v>
      </c>
      <c r="G29" s="1" t="s">
        <v>136</v>
      </c>
    </row>
    <row r="30" spans="1:7">
      <c r="A30" s="2" t="s">
        <v>42</v>
      </c>
      <c r="B30" s="2" t="s">
        <v>43</v>
      </c>
      <c r="C30" s="2" t="s">
        <v>44</v>
      </c>
      <c r="D30" s="2" t="s">
        <v>23</v>
      </c>
      <c r="E30" s="2" t="s">
        <v>49</v>
      </c>
      <c r="F30" s="3">
        <f t="shared" si="0"/>
        <v>63</v>
      </c>
    </row>
    <row r="31" spans="1:7">
      <c r="A31" s="2" t="s">
        <v>42</v>
      </c>
      <c r="B31" s="2" t="s">
        <v>43</v>
      </c>
      <c r="C31" s="2" t="s">
        <v>44</v>
      </c>
      <c r="D31" s="2" t="s">
        <v>23</v>
      </c>
      <c r="E31" s="2" t="s">
        <v>50</v>
      </c>
      <c r="F31" s="3">
        <f t="shared" si="0"/>
        <v>62</v>
      </c>
    </row>
    <row r="32" spans="1:7">
      <c r="A32" s="2" t="s">
        <v>42</v>
      </c>
      <c r="B32" s="2" t="s">
        <v>43</v>
      </c>
      <c r="C32" s="2" t="s">
        <v>44</v>
      </c>
      <c r="D32" s="2" t="s">
        <v>11</v>
      </c>
      <c r="E32" s="2" t="s">
        <v>51</v>
      </c>
      <c r="F32" s="3">
        <f t="shared" si="0"/>
        <v>62</v>
      </c>
      <c r="G32" s="1" t="s">
        <v>136</v>
      </c>
    </row>
    <row r="33" spans="1:7">
      <c r="A33" s="2" t="s">
        <v>42</v>
      </c>
      <c r="B33" s="2" t="s">
        <v>43</v>
      </c>
      <c r="C33" s="2" t="s">
        <v>44</v>
      </c>
      <c r="D33" s="2" t="s">
        <v>11</v>
      </c>
      <c r="E33" s="2" t="s">
        <v>52</v>
      </c>
      <c r="F33" s="3">
        <f t="shared" si="0"/>
        <v>58</v>
      </c>
    </row>
    <row r="34" spans="1:7">
      <c r="A34" s="2" t="s">
        <v>42</v>
      </c>
      <c r="B34" s="2" t="s">
        <v>43</v>
      </c>
      <c r="C34" s="2" t="s">
        <v>44</v>
      </c>
      <c r="D34" s="2" t="s">
        <v>11</v>
      </c>
      <c r="E34" s="2" t="s">
        <v>53</v>
      </c>
      <c r="F34" s="3">
        <f t="shared" si="0"/>
        <v>62</v>
      </c>
    </row>
    <row r="35" spans="1:7">
      <c r="A35" s="2" t="s">
        <v>42</v>
      </c>
      <c r="B35" s="2" t="s">
        <v>43</v>
      </c>
      <c r="C35" s="2" t="s">
        <v>44</v>
      </c>
      <c r="D35" s="2" t="s">
        <v>15</v>
      </c>
      <c r="E35" s="2" t="s">
        <v>54</v>
      </c>
      <c r="F35" s="3">
        <f t="shared" si="0"/>
        <v>65</v>
      </c>
      <c r="G35" s="1" t="s">
        <v>135</v>
      </c>
    </row>
    <row r="36" spans="1:7">
      <c r="A36" s="2" t="s">
        <v>42</v>
      </c>
      <c r="B36" s="2" t="s">
        <v>43</v>
      </c>
      <c r="C36" s="2" t="s">
        <v>44</v>
      </c>
      <c r="D36" s="2" t="s">
        <v>15</v>
      </c>
      <c r="E36" s="2" t="s">
        <v>55</v>
      </c>
      <c r="F36" s="3">
        <f t="shared" si="0"/>
        <v>65</v>
      </c>
      <c r="G36" s="1" t="s">
        <v>135</v>
      </c>
    </row>
    <row r="37" spans="1:7">
      <c r="A37" s="2" t="s">
        <v>42</v>
      </c>
      <c r="B37" s="2" t="s">
        <v>43</v>
      </c>
      <c r="C37" s="2" t="s">
        <v>44</v>
      </c>
      <c r="D37" s="2" t="s">
        <v>15</v>
      </c>
      <c r="E37" s="2" t="s">
        <v>56</v>
      </c>
      <c r="F37" s="3">
        <f t="shared" si="0"/>
        <v>64</v>
      </c>
      <c r="G37" s="1" t="s">
        <v>135</v>
      </c>
    </row>
    <row r="38" spans="1:7">
      <c r="A38" s="2" t="s">
        <v>57</v>
      </c>
      <c r="B38" s="2" t="s">
        <v>58</v>
      </c>
      <c r="C38" s="2" t="s">
        <v>59</v>
      </c>
      <c r="D38" s="2" t="s">
        <v>23</v>
      </c>
      <c r="E38" s="2" t="s">
        <v>60</v>
      </c>
      <c r="F38" s="3">
        <f t="shared" si="0"/>
        <v>62</v>
      </c>
      <c r="G38" s="1" t="s">
        <v>135</v>
      </c>
    </row>
    <row r="39" spans="1:7">
      <c r="A39" s="2" t="s">
        <v>57</v>
      </c>
      <c r="B39" s="2" t="s">
        <v>58</v>
      </c>
      <c r="C39" s="2" t="s">
        <v>59</v>
      </c>
      <c r="D39" s="2" t="s">
        <v>23</v>
      </c>
      <c r="E39" s="2" t="s">
        <v>61</v>
      </c>
      <c r="F39" s="3">
        <f t="shared" si="0"/>
        <v>62</v>
      </c>
      <c r="G39" s="1" t="s">
        <v>135</v>
      </c>
    </row>
    <row r="40" spans="1:7">
      <c r="A40" s="2" t="s">
        <v>57</v>
      </c>
      <c r="B40" s="2" t="s">
        <v>58</v>
      </c>
      <c r="C40" s="2" t="s">
        <v>59</v>
      </c>
      <c r="D40" s="2" t="s">
        <v>23</v>
      </c>
      <c r="E40" s="2" t="s">
        <v>62</v>
      </c>
      <c r="F40" s="3">
        <f t="shared" si="0"/>
        <v>63</v>
      </c>
      <c r="G40" s="1" t="s">
        <v>135</v>
      </c>
    </row>
    <row r="41" spans="1:7">
      <c r="A41" s="2" t="s">
        <v>57</v>
      </c>
      <c r="B41" s="2" t="s">
        <v>58</v>
      </c>
      <c r="C41" s="2" t="s">
        <v>59</v>
      </c>
      <c r="D41" s="2" t="s">
        <v>11</v>
      </c>
      <c r="E41" s="2" t="s">
        <v>63</v>
      </c>
      <c r="F41" s="3">
        <f t="shared" si="0"/>
        <v>59</v>
      </c>
      <c r="G41" s="1" t="s">
        <v>136</v>
      </c>
    </row>
    <row r="42" spans="1:7">
      <c r="A42" s="2" t="s">
        <v>57</v>
      </c>
      <c r="B42" s="2" t="s">
        <v>58</v>
      </c>
      <c r="C42" s="2" t="s">
        <v>59</v>
      </c>
      <c r="D42" s="2" t="s">
        <v>11</v>
      </c>
      <c r="E42" s="2" t="s">
        <v>64</v>
      </c>
      <c r="F42" s="3">
        <f t="shared" si="0"/>
        <v>64</v>
      </c>
    </row>
    <row r="43" spans="1:7">
      <c r="A43" s="2" t="s">
        <v>57</v>
      </c>
      <c r="B43" s="2" t="s">
        <v>58</v>
      </c>
      <c r="C43" s="2" t="s">
        <v>59</v>
      </c>
      <c r="D43" s="2" t="s">
        <v>11</v>
      </c>
      <c r="E43" s="2" t="s">
        <v>65</v>
      </c>
      <c r="F43" s="3">
        <f t="shared" si="0"/>
        <v>60</v>
      </c>
    </row>
    <row r="44" spans="1:7">
      <c r="A44" s="2" t="s">
        <v>57</v>
      </c>
      <c r="B44" s="2" t="s">
        <v>58</v>
      </c>
      <c r="C44" s="2" t="s">
        <v>59</v>
      </c>
      <c r="D44" s="2" t="s">
        <v>15</v>
      </c>
      <c r="E44" s="2" t="s">
        <v>66</v>
      </c>
      <c r="F44" s="3">
        <f t="shared" si="0"/>
        <v>66</v>
      </c>
      <c r="G44" s="1" t="s">
        <v>136</v>
      </c>
    </row>
    <row r="45" spans="1:7">
      <c r="A45" s="2" t="s">
        <v>57</v>
      </c>
      <c r="B45" s="2" t="s">
        <v>58</v>
      </c>
      <c r="C45" s="2" t="s">
        <v>59</v>
      </c>
      <c r="D45" s="2" t="s">
        <v>15</v>
      </c>
      <c r="E45" s="2" t="s">
        <v>67</v>
      </c>
      <c r="F45" s="3">
        <f t="shared" si="0"/>
        <v>66</v>
      </c>
    </row>
    <row r="46" spans="1:7">
      <c r="A46" s="2" t="s">
        <v>57</v>
      </c>
      <c r="B46" s="2" t="s">
        <v>58</v>
      </c>
      <c r="C46" s="2" t="s">
        <v>59</v>
      </c>
      <c r="D46" s="2" t="s">
        <v>15</v>
      </c>
      <c r="E46" s="2" t="s">
        <v>68</v>
      </c>
      <c r="F46" s="3">
        <f t="shared" si="0"/>
        <v>66</v>
      </c>
    </row>
    <row r="47" spans="1:7">
      <c r="A47" s="2" t="s">
        <v>57</v>
      </c>
      <c r="B47" s="2" t="s">
        <v>58</v>
      </c>
      <c r="C47" s="2" t="s">
        <v>59</v>
      </c>
      <c r="D47" s="2" t="s">
        <v>19</v>
      </c>
      <c r="E47" s="2" t="s">
        <v>69</v>
      </c>
      <c r="F47" s="3">
        <f t="shared" si="0"/>
        <v>67</v>
      </c>
      <c r="G47" s="1" t="s">
        <v>135</v>
      </c>
    </row>
    <row r="48" spans="1:7">
      <c r="A48" s="2" t="s">
        <v>57</v>
      </c>
      <c r="B48" s="2" t="s">
        <v>58</v>
      </c>
      <c r="C48" s="2" t="s">
        <v>59</v>
      </c>
      <c r="D48" s="2" t="s">
        <v>19</v>
      </c>
      <c r="E48" s="2" t="s">
        <v>70</v>
      </c>
      <c r="F48" s="3">
        <f t="shared" si="0"/>
        <v>63</v>
      </c>
      <c r="G48" s="1" t="s">
        <v>135</v>
      </c>
    </row>
    <row r="49" spans="1:7">
      <c r="A49" s="2" t="s">
        <v>57</v>
      </c>
      <c r="B49" s="2" t="s">
        <v>58</v>
      </c>
      <c r="C49" s="2" t="s">
        <v>59</v>
      </c>
      <c r="D49" s="2" t="s">
        <v>19</v>
      </c>
      <c r="E49" s="2" t="s">
        <v>71</v>
      </c>
      <c r="F49" s="3">
        <f t="shared" si="0"/>
        <v>65</v>
      </c>
      <c r="G49" s="1" t="s">
        <v>135</v>
      </c>
    </row>
    <row r="50" spans="1:7">
      <c r="A50" s="2" t="s">
        <v>72</v>
      </c>
      <c r="B50" s="2" t="s">
        <v>73</v>
      </c>
      <c r="C50" s="2" t="s">
        <v>74</v>
      </c>
      <c r="D50" s="2" t="s">
        <v>11</v>
      </c>
      <c r="E50" s="2" t="s">
        <v>75</v>
      </c>
      <c r="F50" s="3">
        <f t="shared" si="0"/>
        <v>64</v>
      </c>
      <c r="G50" s="1" t="s">
        <v>135</v>
      </c>
    </row>
    <row r="51" spans="1:7">
      <c r="A51" s="2" t="s">
        <v>72</v>
      </c>
      <c r="B51" s="2" t="s">
        <v>73</v>
      </c>
      <c r="C51" s="2" t="s">
        <v>74</v>
      </c>
      <c r="D51" s="2" t="s">
        <v>11</v>
      </c>
      <c r="E51" s="2" t="s">
        <v>76</v>
      </c>
      <c r="F51" s="3">
        <f t="shared" si="0"/>
        <v>65</v>
      </c>
      <c r="G51" s="1" t="s">
        <v>135</v>
      </c>
    </row>
    <row r="52" spans="1:7">
      <c r="A52" s="2" t="s">
        <v>72</v>
      </c>
      <c r="B52" s="2" t="s">
        <v>73</v>
      </c>
      <c r="C52" s="2" t="s">
        <v>74</v>
      </c>
      <c r="D52" s="2" t="s">
        <v>11</v>
      </c>
      <c r="E52" s="2" t="s">
        <v>77</v>
      </c>
      <c r="F52" s="3">
        <f t="shared" si="0"/>
        <v>62</v>
      </c>
      <c r="G52" s="1" t="s">
        <v>135</v>
      </c>
    </row>
    <row r="53" spans="1:7">
      <c r="A53" s="2" t="s">
        <v>72</v>
      </c>
      <c r="B53" s="2" t="s">
        <v>73</v>
      </c>
      <c r="C53" s="2" t="s">
        <v>74</v>
      </c>
      <c r="D53" s="2" t="s">
        <v>15</v>
      </c>
      <c r="E53" s="2" t="s">
        <v>78</v>
      </c>
      <c r="F53" s="3">
        <f t="shared" si="0"/>
        <v>61</v>
      </c>
      <c r="G53" s="1" t="s">
        <v>136</v>
      </c>
    </row>
    <row r="54" spans="1:7">
      <c r="A54" s="2" t="s">
        <v>72</v>
      </c>
      <c r="B54" s="2" t="s">
        <v>73</v>
      </c>
      <c r="C54" s="2" t="s">
        <v>74</v>
      </c>
      <c r="D54" s="2" t="s">
        <v>15</v>
      </c>
      <c r="E54" s="2" t="s">
        <v>79</v>
      </c>
      <c r="F54" s="3">
        <f t="shared" si="0"/>
        <v>61</v>
      </c>
    </row>
    <row r="55" spans="1:7">
      <c r="A55" s="2" t="s">
        <v>72</v>
      </c>
      <c r="B55" s="2" t="s">
        <v>73</v>
      </c>
      <c r="C55" s="2" t="s">
        <v>74</v>
      </c>
      <c r="D55" s="2" t="s">
        <v>15</v>
      </c>
      <c r="E55" s="2" t="s">
        <v>80</v>
      </c>
      <c r="F55" s="3">
        <f t="shared" si="0"/>
        <v>65</v>
      </c>
    </row>
    <row r="56" spans="1:7">
      <c r="A56" s="2" t="s">
        <v>72</v>
      </c>
      <c r="B56" s="2" t="s">
        <v>73</v>
      </c>
      <c r="C56" s="2" t="s">
        <v>74</v>
      </c>
      <c r="D56" s="2" t="s">
        <v>19</v>
      </c>
      <c r="E56" s="2" t="s">
        <v>81</v>
      </c>
      <c r="F56" s="3">
        <f t="shared" si="0"/>
        <v>58</v>
      </c>
      <c r="G56" s="1" t="s">
        <v>136</v>
      </c>
    </row>
    <row r="57" spans="1:7">
      <c r="A57" s="2" t="s">
        <v>72</v>
      </c>
      <c r="B57" s="2" t="s">
        <v>73</v>
      </c>
      <c r="C57" s="2" t="s">
        <v>74</v>
      </c>
      <c r="D57" s="2" t="s">
        <v>19</v>
      </c>
      <c r="E57" s="2" t="s">
        <v>82</v>
      </c>
      <c r="F57" s="3">
        <f t="shared" si="0"/>
        <v>64</v>
      </c>
    </row>
    <row r="58" spans="1:7">
      <c r="A58" s="2" t="s">
        <v>72</v>
      </c>
      <c r="B58" s="2" t="s">
        <v>73</v>
      </c>
      <c r="C58" s="2" t="s">
        <v>74</v>
      </c>
      <c r="D58" s="2" t="s">
        <v>19</v>
      </c>
      <c r="E58" s="2" t="s">
        <v>83</v>
      </c>
      <c r="F58" s="3">
        <f t="shared" si="0"/>
        <v>63</v>
      </c>
    </row>
    <row r="59" spans="1:7">
      <c r="A59" s="2" t="s">
        <v>72</v>
      </c>
      <c r="B59" s="2" t="s">
        <v>73</v>
      </c>
      <c r="C59" s="2" t="s">
        <v>74</v>
      </c>
      <c r="D59" s="2" t="s">
        <v>23</v>
      </c>
      <c r="E59" s="2" t="s">
        <v>84</v>
      </c>
      <c r="F59" s="3">
        <f t="shared" si="0"/>
        <v>60</v>
      </c>
      <c r="G59" s="1" t="s">
        <v>135</v>
      </c>
    </row>
    <row r="60" spans="1:7">
      <c r="A60" s="2" t="s">
        <v>72</v>
      </c>
      <c r="B60" s="2" t="s">
        <v>73</v>
      </c>
      <c r="C60" s="2" t="s">
        <v>74</v>
      </c>
      <c r="D60" s="2" t="s">
        <v>23</v>
      </c>
      <c r="E60" s="2" t="s">
        <v>85</v>
      </c>
      <c r="F60" s="3">
        <f t="shared" si="0"/>
        <v>60</v>
      </c>
      <c r="G60" s="1" t="s">
        <v>135</v>
      </c>
    </row>
    <row r="61" spans="1:7">
      <c r="A61" s="2" t="s">
        <v>72</v>
      </c>
      <c r="B61" s="2" t="s">
        <v>73</v>
      </c>
      <c r="C61" s="2" t="s">
        <v>74</v>
      </c>
      <c r="D61" s="2" t="s">
        <v>23</v>
      </c>
      <c r="E61" s="2" t="s">
        <v>86</v>
      </c>
      <c r="F61" s="3">
        <f t="shared" si="0"/>
        <v>64</v>
      </c>
      <c r="G61" s="1" t="s">
        <v>135</v>
      </c>
    </row>
    <row r="62" spans="1:7">
      <c r="A62" s="2" t="s">
        <v>87</v>
      </c>
      <c r="B62" s="2" t="s">
        <v>88</v>
      </c>
      <c r="C62" s="2" t="s">
        <v>89</v>
      </c>
      <c r="D62" s="2" t="s">
        <v>19</v>
      </c>
      <c r="E62" s="2" t="s">
        <v>90</v>
      </c>
      <c r="F62" s="3">
        <f t="shared" si="0"/>
        <v>62</v>
      </c>
      <c r="G62" s="1" t="s">
        <v>135</v>
      </c>
    </row>
    <row r="63" spans="1:7">
      <c r="A63" s="2" t="s">
        <v>87</v>
      </c>
      <c r="B63" s="2" t="s">
        <v>88</v>
      </c>
      <c r="C63" s="2" t="s">
        <v>89</v>
      </c>
      <c r="D63" s="2" t="s">
        <v>19</v>
      </c>
      <c r="E63" s="2" t="s">
        <v>91</v>
      </c>
      <c r="F63" s="3">
        <f t="shared" si="0"/>
        <v>62</v>
      </c>
      <c r="G63" s="1" t="s">
        <v>135</v>
      </c>
    </row>
    <row r="64" spans="1:7">
      <c r="A64" s="2" t="s">
        <v>87</v>
      </c>
      <c r="B64" s="2" t="s">
        <v>88</v>
      </c>
      <c r="C64" s="2" t="s">
        <v>89</v>
      </c>
      <c r="D64" s="2" t="s">
        <v>19</v>
      </c>
      <c r="E64" s="2" t="s">
        <v>92</v>
      </c>
      <c r="F64" s="3">
        <f t="shared" si="0"/>
        <v>66</v>
      </c>
      <c r="G64" s="1" t="s">
        <v>135</v>
      </c>
    </row>
    <row r="65" spans="1:7">
      <c r="A65" s="2" t="s">
        <v>87</v>
      </c>
      <c r="B65" s="2" t="s">
        <v>88</v>
      </c>
      <c r="C65" s="2" t="s">
        <v>89</v>
      </c>
      <c r="D65" s="2" t="s">
        <v>23</v>
      </c>
      <c r="E65" s="2" t="s">
        <v>93</v>
      </c>
      <c r="F65" s="3">
        <f t="shared" si="0"/>
        <v>61</v>
      </c>
      <c r="G65" s="1" t="s">
        <v>136</v>
      </c>
    </row>
    <row r="66" spans="1:7">
      <c r="A66" s="2" t="s">
        <v>87</v>
      </c>
      <c r="B66" s="2" t="s">
        <v>88</v>
      </c>
      <c r="C66" s="2" t="s">
        <v>89</v>
      </c>
      <c r="D66" s="2" t="s">
        <v>23</v>
      </c>
      <c r="E66" s="2" t="s">
        <v>94</v>
      </c>
      <c r="F66" s="3">
        <f t="shared" si="0"/>
        <v>65</v>
      </c>
    </row>
    <row r="67" spans="1:7">
      <c r="A67" s="2" t="s">
        <v>87</v>
      </c>
      <c r="B67" s="2" t="s">
        <v>88</v>
      </c>
      <c r="C67" s="2" t="s">
        <v>89</v>
      </c>
      <c r="D67" s="2" t="s">
        <v>23</v>
      </c>
      <c r="E67" s="2" t="s">
        <v>95</v>
      </c>
      <c r="F67" s="3">
        <f t="shared" si="0"/>
        <v>62</v>
      </c>
    </row>
    <row r="68" spans="1:7">
      <c r="A68" s="2" t="s">
        <v>87</v>
      </c>
      <c r="B68" s="2" t="s">
        <v>88</v>
      </c>
      <c r="C68" s="2" t="s">
        <v>89</v>
      </c>
      <c r="D68" s="2" t="s">
        <v>11</v>
      </c>
      <c r="E68" s="2" t="s">
        <v>96</v>
      </c>
      <c r="F68" s="3">
        <f t="shared" si="0"/>
        <v>57</v>
      </c>
      <c r="G68" s="1" t="s">
        <v>136</v>
      </c>
    </row>
    <row r="69" spans="1:7">
      <c r="A69" s="2" t="s">
        <v>87</v>
      </c>
      <c r="B69" s="2" t="s">
        <v>88</v>
      </c>
      <c r="C69" s="2" t="s">
        <v>89</v>
      </c>
      <c r="D69" s="2" t="s">
        <v>11</v>
      </c>
      <c r="E69" s="2" t="s">
        <v>97</v>
      </c>
      <c r="F69" s="3">
        <f t="shared" si="0"/>
        <v>60</v>
      </c>
    </row>
    <row r="70" spans="1:7">
      <c r="A70" s="2" t="s">
        <v>87</v>
      </c>
      <c r="B70" s="2" t="s">
        <v>88</v>
      </c>
      <c r="C70" s="2" t="s">
        <v>89</v>
      </c>
      <c r="D70" s="2" t="s">
        <v>11</v>
      </c>
      <c r="E70" s="2" t="s">
        <v>98</v>
      </c>
      <c r="F70" s="3">
        <f t="shared" si="0"/>
        <v>62</v>
      </c>
    </row>
    <row r="71" spans="1:7">
      <c r="A71" s="2" t="s">
        <v>87</v>
      </c>
      <c r="B71" s="2" t="s">
        <v>88</v>
      </c>
      <c r="C71" s="2" t="s">
        <v>89</v>
      </c>
      <c r="D71" s="2" t="s">
        <v>15</v>
      </c>
      <c r="E71" s="2" t="s">
        <v>99</v>
      </c>
      <c r="F71" s="3">
        <f t="shared" si="0"/>
        <v>66</v>
      </c>
      <c r="G71" s="1" t="s">
        <v>135</v>
      </c>
    </row>
    <row r="72" spans="1:7">
      <c r="A72" s="2" t="s">
        <v>87</v>
      </c>
      <c r="B72" s="2" t="s">
        <v>88</v>
      </c>
      <c r="C72" s="2" t="s">
        <v>89</v>
      </c>
      <c r="D72" s="2" t="s">
        <v>15</v>
      </c>
      <c r="E72" s="2" t="s">
        <v>100</v>
      </c>
      <c r="F72" s="3">
        <f t="shared" si="0"/>
        <v>61</v>
      </c>
      <c r="G72" s="1" t="s">
        <v>135</v>
      </c>
    </row>
    <row r="73" spans="1:7">
      <c r="A73" s="2" t="s">
        <v>87</v>
      </c>
      <c r="B73" s="2" t="s">
        <v>88</v>
      </c>
      <c r="C73" s="2" t="s">
        <v>89</v>
      </c>
      <c r="D73" s="2" t="s">
        <v>15</v>
      </c>
      <c r="E73" s="2" t="s">
        <v>101</v>
      </c>
      <c r="F73" s="3">
        <f t="shared" si="0"/>
        <v>65</v>
      </c>
      <c r="G73" s="1" t="s">
        <v>135</v>
      </c>
    </row>
    <row r="74" spans="1:7">
      <c r="A74" s="2" t="s">
        <v>102</v>
      </c>
      <c r="B74" s="2" t="s">
        <v>103</v>
      </c>
      <c r="C74" s="2" t="s">
        <v>104</v>
      </c>
      <c r="D74" s="2" t="s">
        <v>23</v>
      </c>
      <c r="E74" s="2" t="s">
        <v>105</v>
      </c>
      <c r="F74" s="3">
        <f t="shared" si="0"/>
        <v>62</v>
      </c>
      <c r="G74" s="1" t="s">
        <v>135</v>
      </c>
    </row>
    <row r="75" spans="1:7">
      <c r="A75" s="2" t="s">
        <v>102</v>
      </c>
      <c r="B75" s="2" t="s">
        <v>103</v>
      </c>
      <c r="C75" s="2" t="s">
        <v>104</v>
      </c>
      <c r="D75" s="2" t="s">
        <v>23</v>
      </c>
      <c r="E75" s="2" t="s">
        <v>106</v>
      </c>
      <c r="F75" s="3">
        <f t="shared" si="0"/>
        <v>66</v>
      </c>
      <c r="G75" s="1" t="s">
        <v>135</v>
      </c>
    </row>
    <row r="76" spans="1:7">
      <c r="A76" s="2" t="s">
        <v>102</v>
      </c>
      <c r="B76" s="2" t="s">
        <v>103</v>
      </c>
      <c r="C76" s="2" t="s">
        <v>104</v>
      </c>
      <c r="D76" s="2" t="s">
        <v>23</v>
      </c>
      <c r="E76" s="2" t="s">
        <v>107</v>
      </c>
      <c r="F76" s="3">
        <f t="shared" si="0"/>
        <v>65</v>
      </c>
      <c r="G76" s="1" t="s">
        <v>135</v>
      </c>
    </row>
    <row r="77" spans="1:7">
      <c r="A77" s="2" t="s">
        <v>102</v>
      </c>
      <c r="B77" s="2" t="s">
        <v>103</v>
      </c>
      <c r="C77" s="2" t="s">
        <v>104</v>
      </c>
      <c r="D77" s="2" t="s">
        <v>11</v>
      </c>
      <c r="E77" s="2" t="s">
        <v>108</v>
      </c>
      <c r="F77" s="3">
        <f t="shared" si="0"/>
        <v>63</v>
      </c>
      <c r="G77" s="1" t="s">
        <v>136</v>
      </c>
    </row>
    <row r="78" spans="1:7">
      <c r="A78" s="2" t="s">
        <v>102</v>
      </c>
      <c r="B78" s="2" t="s">
        <v>103</v>
      </c>
      <c r="C78" s="2" t="s">
        <v>104</v>
      </c>
      <c r="D78" s="2" t="s">
        <v>11</v>
      </c>
      <c r="E78" s="2" t="s">
        <v>109</v>
      </c>
      <c r="F78" s="3">
        <f t="shared" si="0"/>
        <v>68</v>
      </c>
    </row>
    <row r="79" spans="1:7">
      <c r="A79" s="2" t="s">
        <v>102</v>
      </c>
      <c r="B79" s="2" t="s">
        <v>103</v>
      </c>
      <c r="C79" s="2" t="s">
        <v>104</v>
      </c>
      <c r="D79" s="2" t="s">
        <v>11</v>
      </c>
      <c r="E79" s="2" t="s">
        <v>110</v>
      </c>
      <c r="F79" s="3">
        <f t="shared" si="0"/>
        <v>64</v>
      </c>
    </row>
    <row r="80" spans="1:7">
      <c r="A80" s="2" t="s">
        <v>102</v>
      </c>
      <c r="B80" s="2" t="s">
        <v>103</v>
      </c>
      <c r="C80" s="2" t="s">
        <v>104</v>
      </c>
      <c r="D80" s="2" t="s">
        <v>15</v>
      </c>
      <c r="E80" s="2" t="s">
        <v>111</v>
      </c>
      <c r="F80" s="3">
        <f t="shared" si="0"/>
        <v>61</v>
      </c>
      <c r="G80" s="1" t="s">
        <v>136</v>
      </c>
    </row>
    <row r="81" spans="1:7">
      <c r="A81" s="2" t="s">
        <v>102</v>
      </c>
      <c r="B81" s="2" t="s">
        <v>103</v>
      </c>
      <c r="C81" s="2" t="s">
        <v>104</v>
      </c>
      <c r="D81" s="2" t="s">
        <v>15</v>
      </c>
      <c r="E81" s="2" t="s">
        <v>112</v>
      </c>
      <c r="F81" s="3">
        <f t="shared" si="0"/>
        <v>62</v>
      </c>
    </row>
    <row r="82" spans="1:7">
      <c r="A82" s="2" t="s">
        <v>102</v>
      </c>
      <c r="B82" s="2" t="s">
        <v>103</v>
      </c>
      <c r="C82" s="2" t="s">
        <v>104</v>
      </c>
      <c r="D82" s="2" t="s">
        <v>15</v>
      </c>
      <c r="E82" s="2" t="s">
        <v>113</v>
      </c>
      <c r="F82" s="3">
        <f t="shared" si="0"/>
        <v>65</v>
      </c>
    </row>
    <row r="83" spans="1:7">
      <c r="A83" s="2" t="s">
        <v>102</v>
      </c>
      <c r="B83" s="2" t="s">
        <v>103</v>
      </c>
      <c r="C83" s="2" t="s">
        <v>104</v>
      </c>
      <c r="D83" s="2" t="s">
        <v>19</v>
      </c>
      <c r="E83" s="2" t="s">
        <v>114</v>
      </c>
      <c r="F83" s="3">
        <f t="shared" si="0"/>
        <v>63</v>
      </c>
      <c r="G83" s="1" t="s">
        <v>135</v>
      </c>
    </row>
    <row r="84" spans="1:7">
      <c r="A84" s="2" t="s">
        <v>102</v>
      </c>
      <c r="B84" s="2" t="s">
        <v>103</v>
      </c>
      <c r="C84" s="2" t="s">
        <v>104</v>
      </c>
      <c r="D84" s="2" t="s">
        <v>19</v>
      </c>
      <c r="E84" s="2" t="s">
        <v>115</v>
      </c>
      <c r="F84" s="3">
        <f t="shared" si="0"/>
        <v>68</v>
      </c>
      <c r="G84" s="1" t="s">
        <v>135</v>
      </c>
    </row>
    <row r="85" spans="1:7">
      <c r="A85" s="2" t="s">
        <v>102</v>
      </c>
      <c r="B85" s="2" t="s">
        <v>103</v>
      </c>
      <c r="C85" s="2" t="s">
        <v>104</v>
      </c>
      <c r="D85" s="2" t="s">
        <v>19</v>
      </c>
      <c r="E85" s="2" t="s">
        <v>116</v>
      </c>
      <c r="F85" s="3">
        <f t="shared" si="0"/>
        <v>64</v>
      </c>
      <c r="G85" s="1" t="s">
        <v>135</v>
      </c>
    </row>
    <row r="86" spans="1:7">
      <c r="A86" s="2" t="s">
        <v>117</v>
      </c>
      <c r="B86" s="2" t="s">
        <v>118</v>
      </c>
      <c r="C86" s="2" t="s">
        <v>119</v>
      </c>
      <c r="D86" s="2" t="s">
        <v>23</v>
      </c>
      <c r="E86" s="5" t="s">
        <v>120</v>
      </c>
      <c r="F86" s="3">
        <f t="shared" si="0"/>
        <v>64</v>
      </c>
      <c r="G86" s="1" t="s">
        <v>135</v>
      </c>
    </row>
    <row r="87" spans="1:7">
      <c r="A87" s="2" t="s">
        <v>117</v>
      </c>
      <c r="B87" s="2" t="s">
        <v>118</v>
      </c>
      <c r="C87" s="2" t="s">
        <v>119</v>
      </c>
      <c r="D87" s="2" t="s">
        <v>23</v>
      </c>
      <c r="E87" s="5" t="s">
        <v>121</v>
      </c>
      <c r="F87" s="3">
        <f t="shared" si="0"/>
        <v>61</v>
      </c>
      <c r="G87" s="1" t="s">
        <v>135</v>
      </c>
    </row>
    <row r="88" spans="1:7">
      <c r="A88" s="2" t="s">
        <v>117</v>
      </c>
      <c r="B88" s="2" t="s">
        <v>118</v>
      </c>
      <c r="C88" s="2" t="s">
        <v>119</v>
      </c>
      <c r="D88" s="2" t="s">
        <v>23</v>
      </c>
      <c r="E88" s="5" t="s">
        <v>122</v>
      </c>
      <c r="F88" s="3">
        <f t="shared" si="0"/>
        <v>66</v>
      </c>
      <c r="G88" s="1" t="s">
        <v>135</v>
      </c>
    </row>
    <row r="89" spans="1:7">
      <c r="A89" s="2" t="s">
        <v>117</v>
      </c>
      <c r="B89" s="2" t="s">
        <v>118</v>
      </c>
      <c r="C89" s="2" t="s">
        <v>119</v>
      </c>
      <c r="D89" s="2" t="s">
        <v>11</v>
      </c>
      <c r="E89" s="2" t="s">
        <v>123</v>
      </c>
      <c r="F89" s="3">
        <f t="shared" si="0"/>
        <v>68</v>
      </c>
      <c r="G89" s="1" t="s">
        <v>136</v>
      </c>
    </row>
    <row r="90" spans="1:7">
      <c r="A90" s="2" t="s">
        <v>117</v>
      </c>
      <c r="B90" s="2" t="s">
        <v>118</v>
      </c>
      <c r="C90" s="2" t="s">
        <v>119</v>
      </c>
      <c r="D90" s="2" t="s">
        <v>11</v>
      </c>
      <c r="E90" s="2" t="s">
        <v>124</v>
      </c>
      <c r="F90" s="3">
        <f t="shared" si="0"/>
        <v>67</v>
      </c>
    </row>
    <row r="91" spans="1:7">
      <c r="A91" s="2" t="s">
        <v>117</v>
      </c>
      <c r="B91" s="2" t="s">
        <v>118</v>
      </c>
      <c r="C91" s="2" t="s">
        <v>119</v>
      </c>
      <c r="D91" s="2" t="s">
        <v>11</v>
      </c>
      <c r="E91" s="5" t="s">
        <v>125</v>
      </c>
      <c r="F91" s="3">
        <f t="shared" si="0"/>
        <v>64</v>
      </c>
    </row>
    <row r="92" spans="1:7">
      <c r="A92" s="2" t="s">
        <v>117</v>
      </c>
      <c r="B92" s="2" t="s">
        <v>118</v>
      </c>
      <c r="C92" s="2" t="s">
        <v>119</v>
      </c>
      <c r="D92" s="2" t="s">
        <v>15</v>
      </c>
      <c r="E92" s="2" t="s">
        <v>126</v>
      </c>
      <c r="F92" s="3">
        <f t="shared" si="0"/>
        <v>63</v>
      </c>
      <c r="G92" s="1" t="s">
        <v>136</v>
      </c>
    </row>
    <row r="93" spans="1:7">
      <c r="A93" s="2" t="s">
        <v>117</v>
      </c>
      <c r="B93" s="2" t="s">
        <v>118</v>
      </c>
      <c r="C93" s="2" t="s">
        <v>119</v>
      </c>
      <c r="D93" s="2" t="s">
        <v>15</v>
      </c>
      <c r="E93" s="2" t="s">
        <v>127</v>
      </c>
      <c r="F93" s="3">
        <f t="shared" si="0"/>
        <v>60</v>
      </c>
    </row>
    <row r="94" spans="1:7">
      <c r="A94" s="2" t="s">
        <v>117</v>
      </c>
      <c r="B94" s="2" t="s">
        <v>118</v>
      </c>
      <c r="C94" s="2" t="s">
        <v>119</v>
      </c>
      <c r="D94" s="2" t="s">
        <v>15</v>
      </c>
      <c r="E94" s="2" t="s">
        <v>128</v>
      </c>
      <c r="F94" s="3">
        <f t="shared" si="0"/>
        <v>67</v>
      </c>
    </row>
    <row r="95" spans="1:7">
      <c r="A95" s="2" t="s">
        <v>117</v>
      </c>
      <c r="B95" s="2" t="s">
        <v>118</v>
      </c>
      <c r="C95" s="2" t="s">
        <v>119</v>
      </c>
      <c r="D95" s="2" t="s">
        <v>19</v>
      </c>
      <c r="E95" s="5" t="s">
        <v>129</v>
      </c>
      <c r="F95" s="3">
        <f t="shared" si="0"/>
        <v>62</v>
      </c>
      <c r="G95" s="1" t="s">
        <v>135</v>
      </c>
    </row>
    <row r="96" spans="1:7">
      <c r="A96" s="2" t="s">
        <v>117</v>
      </c>
      <c r="B96" s="2" t="s">
        <v>118</v>
      </c>
      <c r="C96" s="2" t="s">
        <v>119</v>
      </c>
      <c r="D96" s="2" t="s">
        <v>19</v>
      </c>
      <c r="E96" s="2" t="s">
        <v>130</v>
      </c>
      <c r="F96" s="3">
        <f t="shared" si="0"/>
        <v>74</v>
      </c>
      <c r="G96" s="1" t="s">
        <v>135</v>
      </c>
    </row>
    <row r="97" spans="1:7">
      <c r="A97" s="2" t="s">
        <v>117</v>
      </c>
      <c r="B97" s="2" t="s">
        <v>118</v>
      </c>
      <c r="C97" s="2" t="s">
        <v>119</v>
      </c>
      <c r="D97" s="2" t="s">
        <v>19</v>
      </c>
      <c r="E97" s="2" t="s">
        <v>131</v>
      </c>
      <c r="F97" s="3">
        <f t="shared" si="0"/>
        <v>62</v>
      </c>
      <c r="G97" s="1" t="s">
        <v>135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7"/>
  <sheetViews>
    <sheetView workbookViewId="0"/>
  </sheetViews>
  <sheetFormatPr baseColWidth="10" defaultColWidth="12.6640625" defaultRowHeight="15.75" customHeight="1"/>
  <sheetData>
    <row r="1" spans="1:5" ht="15.75" customHeight="1">
      <c r="A1" s="8" t="s">
        <v>0</v>
      </c>
      <c r="B1" s="8" t="s">
        <v>138</v>
      </c>
      <c r="C1" s="8" t="s">
        <v>139</v>
      </c>
      <c r="D1" s="8" t="s">
        <v>140</v>
      </c>
      <c r="E1" s="8" t="s">
        <v>141</v>
      </c>
    </row>
    <row r="2" spans="1:5" ht="15.75" customHeight="1">
      <c r="A2" s="8" t="s">
        <v>142</v>
      </c>
      <c r="B2" s="8" t="s">
        <v>11</v>
      </c>
      <c r="C2" s="8" t="s">
        <v>143</v>
      </c>
      <c r="D2" s="9">
        <v>818181818</v>
      </c>
      <c r="E2" s="9">
        <v>1738</v>
      </c>
    </row>
    <row r="3" spans="1:5" ht="15.75" customHeight="1">
      <c r="A3" s="8" t="s">
        <v>142</v>
      </c>
      <c r="B3" s="8" t="s">
        <v>11</v>
      </c>
      <c r="C3" s="8" t="s">
        <v>144</v>
      </c>
      <c r="D3" s="9">
        <v>909090909</v>
      </c>
      <c r="E3" s="9">
        <v>1597</v>
      </c>
    </row>
    <row r="4" spans="1:5" ht="15.75" customHeight="1">
      <c r="A4" s="8" t="s">
        <v>142</v>
      </c>
      <c r="B4" s="8" t="s">
        <v>11</v>
      </c>
      <c r="C4" s="8" t="s">
        <v>145</v>
      </c>
      <c r="D4" s="9">
        <v>823529412</v>
      </c>
      <c r="E4" s="9">
        <v>1401</v>
      </c>
    </row>
    <row r="5" spans="1:5" ht="15.75" customHeight="1">
      <c r="A5" s="8" t="s">
        <v>142</v>
      </c>
      <c r="B5" s="8" t="s">
        <v>23</v>
      </c>
      <c r="C5" s="8" t="s">
        <v>146</v>
      </c>
      <c r="D5" s="9">
        <v>1875</v>
      </c>
      <c r="E5" s="10">
        <v>1422622</v>
      </c>
    </row>
    <row r="6" spans="1:5" ht="15.75" customHeight="1">
      <c r="A6" s="8" t="s">
        <v>142</v>
      </c>
      <c r="B6" s="8" t="s">
        <v>23</v>
      </c>
      <c r="C6" s="8" t="s">
        <v>147</v>
      </c>
      <c r="D6" s="9">
        <v>153846154</v>
      </c>
      <c r="E6" s="9">
        <v>1191</v>
      </c>
    </row>
    <row r="7" spans="1:5" ht="15.75" customHeight="1">
      <c r="A7" s="8" t="s">
        <v>142</v>
      </c>
      <c r="B7" s="8" t="s">
        <v>23</v>
      </c>
      <c r="C7" s="8" t="s">
        <v>148</v>
      </c>
      <c r="D7" s="9">
        <v>166666667</v>
      </c>
      <c r="E7" s="9">
        <v>1298</v>
      </c>
    </row>
    <row r="8" spans="1:5" ht="15.75" customHeight="1">
      <c r="A8" s="8" t="s">
        <v>142</v>
      </c>
      <c r="B8" s="8" t="s">
        <v>15</v>
      </c>
      <c r="C8" s="8" t="s">
        <v>149</v>
      </c>
      <c r="D8" s="9">
        <v>625</v>
      </c>
      <c r="E8" s="9">
        <v>1484</v>
      </c>
    </row>
    <row r="9" spans="1:5" ht="15.75" customHeight="1">
      <c r="A9" s="8" t="s">
        <v>142</v>
      </c>
      <c r="B9" s="8" t="s">
        <v>15</v>
      </c>
      <c r="C9" s="8" t="s">
        <v>150</v>
      </c>
      <c r="D9" s="9">
        <v>352941176</v>
      </c>
      <c r="E9" s="9">
        <v>1768</v>
      </c>
    </row>
    <row r="10" spans="1:5" ht="15.75" customHeight="1">
      <c r="A10" s="8" t="s">
        <v>142</v>
      </c>
      <c r="B10" s="8" t="s">
        <v>15</v>
      </c>
      <c r="C10" s="8" t="s">
        <v>151</v>
      </c>
      <c r="D10" s="9">
        <v>222222222</v>
      </c>
      <c r="E10" s="9">
        <v>1618</v>
      </c>
    </row>
    <row r="11" spans="1:5" ht="15.75" customHeight="1">
      <c r="A11" s="8" t="s">
        <v>142</v>
      </c>
      <c r="B11" s="8" t="s">
        <v>19</v>
      </c>
      <c r="C11" s="8" t="s">
        <v>152</v>
      </c>
      <c r="D11" s="11" t="s">
        <v>153</v>
      </c>
      <c r="E11" s="9">
        <v>1663</v>
      </c>
    </row>
    <row r="12" spans="1:5" ht="15.75" customHeight="1">
      <c r="A12" s="8" t="s">
        <v>142</v>
      </c>
      <c r="B12" s="8" t="s">
        <v>19</v>
      </c>
      <c r="C12" s="8" t="s">
        <v>154</v>
      </c>
      <c r="D12" s="9">
        <v>230769231</v>
      </c>
      <c r="E12" s="9">
        <v>1535</v>
      </c>
    </row>
    <row r="13" spans="1:5" ht="15.75" customHeight="1">
      <c r="A13" s="8" t="s">
        <v>142</v>
      </c>
      <c r="B13" s="8" t="s">
        <v>19</v>
      </c>
      <c r="C13" s="8" t="s">
        <v>155</v>
      </c>
      <c r="D13" s="9">
        <v>583333333</v>
      </c>
      <c r="E13" s="10">
        <v>1156026</v>
      </c>
    </row>
    <row r="14" spans="1:5" ht="15.75" customHeight="1">
      <c r="A14" s="8" t="s">
        <v>156</v>
      </c>
      <c r="B14" s="8" t="s">
        <v>11</v>
      </c>
      <c r="C14" s="8" t="s">
        <v>39</v>
      </c>
      <c r="D14" s="11">
        <v>1</v>
      </c>
      <c r="E14" s="9">
        <v>1113</v>
      </c>
    </row>
    <row r="15" spans="1:5" ht="15.75" customHeight="1">
      <c r="A15" s="8" t="s">
        <v>156</v>
      </c>
      <c r="B15" s="8" t="s">
        <v>11</v>
      </c>
      <c r="C15" s="8" t="s">
        <v>157</v>
      </c>
      <c r="D15" s="11">
        <v>1</v>
      </c>
      <c r="E15" s="9">
        <v>1043</v>
      </c>
    </row>
    <row r="16" spans="1:5" ht="15.75" customHeight="1">
      <c r="A16" s="8" t="s">
        <v>156</v>
      </c>
      <c r="B16" s="8" t="s">
        <v>11</v>
      </c>
      <c r="C16" s="8" t="s">
        <v>40</v>
      </c>
      <c r="D16" s="9">
        <v>916666667</v>
      </c>
      <c r="E16" s="10">
        <v>597173</v>
      </c>
    </row>
    <row r="17" spans="1:5" ht="15.75" customHeight="1">
      <c r="A17" s="8" t="s">
        <v>156</v>
      </c>
      <c r="B17" s="8" t="s">
        <v>23</v>
      </c>
      <c r="C17" s="8" t="s">
        <v>158</v>
      </c>
      <c r="D17" s="11">
        <v>0</v>
      </c>
      <c r="E17" s="9">
        <v>1569</v>
      </c>
    </row>
    <row r="18" spans="1:5" ht="15.75" customHeight="1">
      <c r="A18" s="8" t="s">
        <v>156</v>
      </c>
      <c r="B18" s="8" t="s">
        <v>23</v>
      </c>
      <c r="C18" s="8" t="s">
        <v>38</v>
      </c>
      <c r="D18" s="9">
        <v>176470588</v>
      </c>
      <c r="E18" s="9">
        <v>1269</v>
      </c>
    </row>
    <row r="19" spans="1:5" ht="15.75" customHeight="1">
      <c r="A19" s="8" t="s">
        <v>156</v>
      </c>
      <c r="B19" s="8" t="s">
        <v>23</v>
      </c>
      <c r="C19" s="8" t="s">
        <v>36</v>
      </c>
      <c r="D19" s="11">
        <v>0</v>
      </c>
      <c r="E19" s="9">
        <v>1518</v>
      </c>
    </row>
    <row r="20" spans="1:5" ht="15.75" customHeight="1">
      <c r="A20" s="8" t="s">
        <v>156</v>
      </c>
      <c r="B20" s="8" t="s">
        <v>15</v>
      </c>
      <c r="C20" s="8" t="s">
        <v>32</v>
      </c>
      <c r="D20" s="9">
        <v>333333333</v>
      </c>
      <c r="E20" s="10">
        <v>677558</v>
      </c>
    </row>
    <row r="21" spans="1:5" ht="15.75" customHeight="1">
      <c r="A21" s="8" t="s">
        <v>156</v>
      </c>
      <c r="B21" s="8" t="s">
        <v>15</v>
      </c>
      <c r="C21" s="8" t="s">
        <v>159</v>
      </c>
      <c r="D21" s="9">
        <v>375</v>
      </c>
      <c r="E21" s="10">
        <v>1426274</v>
      </c>
    </row>
    <row r="22" spans="1:5" ht="15.75" customHeight="1">
      <c r="A22" s="8" t="s">
        <v>156</v>
      </c>
      <c r="B22" s="8" t="s">
        <v>15</v>
      </c>
      <c r="C22" s="8" t="s">
        <v>160</v>
      </c>
      <c r="D22" s="9">
        <v>384615385</v>
      </c>
      <c r="E22" s="9">
        <v>1351</v>
      </c>
    </row>
    <row r="23" spans="1:5" ht="15.75" customHeight="1">
      <c r="A23" s="8" t="s">
        <v>156</v>
      </c>
      <c r="B23" s="8" t="s">
        <v>19</v>
      </c>
      <c r="C23" s="8" t="s">
        <v>35</v>
      </c>
      <c r="D23" s="9">
        <v>117647059</v>
      </c>
      <c r="E23" s="11" t="s">
        <v>161</v>
      </c>
    </row>
    <row r="24" spans="1:5" ht="15.75" customHeight="1">
      <c r="A24" s="8" t="s">
        <v>156</v>
      </c>
      <c r="B24" s="8" t="s">
        <v>19</v>
      </c>
      <c r="C24" s="8" t="s">
        <v>34</v>
      </c>
      <c r="D24" s="9">
        <v>454545455</v>
      </c>
      <c r="E24" s="9">
        <v>1803</v>
      </c>
    </row>
    <row r="25" spans="1:5" ht="15.75" customHeight="1">
      <c r="A25" s="8" t="s">
        <v>156</v>
      </c>
      <c r="B25" s="8" t="s">
        <v>19</v>
      </c>
      <c r="C25" s="8" t="s">
        <v>162</v>
      </c>
      <c r="D25" s="9">
        <v>90909091</v>
      </c>
      <c r="E25" s="9">
        <v>1204</v>
      </c>
    </row>
    <row r="26" spans="1:5" ht="15.75" customHeight="1">
      <c r="A26" s="8" t="s">
        <v>163</v>
      </c>
      <c r="B26" s="8" t="s">
        <v>11</v>
      </c>
      <c r="C26" s="8" t="s">
        <v>76</v>
      </c>
      <c r="D26" s="9">
        <v>9375</v>
      </c>
      <c r="E26" s="9">
        <v>1267</v>
      </c>
    </row>
    <row r="27" spans="1:5" ht="15.75" customHeight="1">
      <c r="A27" s="8" t="s">
        <v>163</v>
      </c>
      <c r="B27" s="8" t="s">
        <v>11</v>
      </c>
      <c r="C27" s="8" t="s">
        <v>75</v>
      </c>
      <c r="D27" s="9">
        <v>923076923</v>
      </c>
      <c r="E27" s="9">
        <v>1248</v>
      </c>
    </row>
    <row r="28" spans="1:5" ht="15.75" customHeight="1">
      <c r="A28" s="8" t="s">
        <v>163</v>
      </c>
      <c r="B28" s="8" t="s">
        <v>11</v>
      </c>
      <c r="C28" s="8" t="s">
        <v>164</v>
      </c>
      <c r="D28" s="11">
        <v>1</v>
      </c>
      <c r="E28" s="9">
        <v>8675</v>
      </c>
    </row>
    <row r="29" spans="1:5" ht="15.75" customHeight="1">
      <c r="A29" s="8" t="s">
        <v>163</v>
      </c>
      <c r="B29" s="8" t="s">
        <v>23</v>
      </c>
      <c r="C29" s="8" t="s">
        <v>165</v>
      </c>
      <c r="D29" s="9">
        <v>83333333</v>
      </c>
      <c r="E29" s="10">
        <v>2423386</v>
      </c>
    </row>
    <row r="30" spans="1:5" ht="15.75" customHeight="1">
      <c r="A30" s="8" t="s">
        <v>163</v>
      </c>
      <c r="B30" s="8" t="s">
        <v>23</v>
      </c>
      <c r="C30" s="8" t="s">
        <v>166</v>
      </c>
      <c r="D30" s="11">
        <v>0</v>
      </c>
      <c r="E30" s="9">
        <v>1349</v>
      </c>
    </row>
    <row r="31" spans="1:5" ht="15.75" customHeight="1">
      <c r="A31" s="8" t="s">
        <v>163</v>
      </c>
      <c r="B31" s="8" t="s">
        <v>23</v>
      </c>
      <c r="C31" s="8" t="s">
        <v>167</v>
      </c>
      <c r="D31" s="11">
        <v>0</v>
      </c>
      <c r="E31" s="9">
        <v>1926</v>
      </c>
    </row>
    <row r="32" spans="1:5" ht="15.75" customHeight="1">
      <c r="A32" s="8" t="s">
        <v>163</v>
      </c>
      <c r="B32" s="8" t="s">
        <v>15</v>
      </c>
      <c r="C32" s="8" t="s">
        <v>168</v>
      </c>
      <c r="D32" s="11">
        <v>0</v>
      </c>
      <c r="E32" s="9">
        <v>1662</v>
      </c>
    </row>
    <row r="33" spans="1:5" ht="15.75" customHeight="1">
      <c r="A33" s="8" t="s">
        <v>163</v>
      </c>
      <c r="B33" s="8" t="s">
        <v>15</v>
      </c>
      <c r="C33" s="8" t="s">
        <v>169</v>
      </c>
      <c r="D33" s="9">
        <v>411764706</v>
      </c>
      <c r="E33" s="9">
        <v>1846</v>
      </c>
    </row>
    <row r="34" spans="1:5" ht="15.75" customHeight="1">
      <c r="A34" s="8" t="s">
        <v>163</v>
      </c>
      <c r="B34" s="8" t="s">
        <v>15</v>
      </c>
      <c r="C34" s="8" t="s">
        <v>170</v>
      </c>
      <c r="D34" s="9">
        <v>636363636</v>
      </c>
      <c r="E34" s="9">
        <v>1639</v>
      </c>
    </row>
    <row r="35" spans="1:5" ht="15.75" customHeight="1">
      <c r="A35" s="8" t="s">
        <v>163</v>
      </c>
      <c r="B35" s="8" t="s">
        <v>19</v>
      </c>
      <c r="C35" s="8" t="s">
        <v>171</v>
      </c>
      <c r="D35" s="9">
        <v>4375</v>
      </c>
      <c r="E35" s="9">
        <v>1488</v>
      </c>
    </row>
    <row r="36" spans="1:5" ht="15.75" customHeight="1">
      <c r="A36" s="8" t="s">
        <v>163</v>
      </c>
      <c r="B36" s="8" t="s">
        <v>19</v>
      </c>
      <c r="C36" s="8" t="s">
        <v>172</v>
      </c>
      <c r="D36" s="9">
        <v>222222222</v>
      </c>
      <c r="E36" s="9">
        <v>1259</v>
      </c>
    </row>
    <row r="37" spans="1:5" ht="15.75" customHeight="1">
      <c r="A37" s="8" t="s">
        <v>163</v>
      </c>
      <c r="B37" s="8" t="s">
        <v>19</v>
      </c>
      <c r="C37" s="8" t="s">
        <v>173</v>
      </c>
      <c r="D37" s="9">
        <v>176470588</v>
      </c>
      <c r="E37" s="9">
        <v>1633</v>
      </c>
    </row>
    <row r="38" spans="1:5" ht="15.75" customHeight="1">
      <c r="A38" s="8" t="s">
        <v>174</v>
      </c>
      <c r="B38" s="8" t="s">
        <v>11</v>
      </c>
      <c r="C38" s="8" t="s">
        <v>175</v>
      </c>
      <c r="D38" s="9">
        <v>909090909</v>
      </c>
      <c r="E38" s="9">
        <v>1017</v>
      </c>
    </row>
    <row r="39" spans="1:5" ht="15.75" customHeight="1">
      <c r="A39" s="8" t="s">
        <v>174</v>
      </c>
      <c r="B39" s="8" t="s">
        <v>11</v>
      </c>
      <c r="C39" s="8" t="s">
        <v>176</v>
      </c>
      <c r="D39" s="9">
        <v>941176471</v>
      </c>
      <c r="E39" s="9">
        <v>1211</v>
      </c>
    </row>
    <row r="40" spans="1:5" ht="15.75" customHeight="1">
      <c r="A40" s="8" t="s">
        <v>174</v>
      </c>
      <c r="B40" s="8" t="s">
        <v>11</v>
      </c>
      <c r="C40" s="8" t="s">
        <v>177</v>
      </c>
      <c r="D40" s="11">
        <v>1</v>
      </c>
      <c r="E40" s="9">
        <v>1472</v>
      </c>
    </row>
    <row r="41" spans="1:5" ht="15.75" customHeight="1">
      <c r="A41" s="8" t="s">
        <v>174</v>
      </c>
      <c r="B41" s="8" t="s">
        <v>23</v>
      </c>
      <c r="C41" s="8" t="s">
        <v>178</v>
      </c>
      <c r="D41" s="9">
        <v>83333333</v>
      </c>
      <c r="E41" s="9">
        <v>1743</v>
      </c>
    </row>
    <row r="42" spans="1:5" ht="18">
      <c r="A42" s="8" t="s">
        <v>174</v>
      </c>
      <c r="B42" s="8" t="s">
        <v>23</v>
      </c>
      <c r="C42" s="8" t="s">
        <v>179</v>
      </c>
      <c r="D42" s="11">
        <v>0</v>
      </c>
      <c r="E42" s="9">
        <v>1516</v>
      </c>
    </row>
    <row r="43" spans="1:5" ht="18">
      <c r="A43" s="8" t="s">
        <v>174</v>
      </c>
      <c r="B43" s="8" t="s">
        <v>23</v>
      </c>
      <c r="C43" s="8" t="s">
        <v>180</v>
      </c>
      <c r="D43" s="9">
        <v>625</v>
      </c>
      <c r="E43" s="10" t="s">
        <v>181</v>
      </c>
    </row>
    <row r="44" spans="1:5" ht="18">
      <c r="A44" s="8" t="s">
        <v>174</v>
      </c>
      <c r="B44" s="8" t="s">
        <v>15</v>
      </c>
      <c r="C44" s="8" t="s">
        <v>182</v>
      </c>
      <c r="D44" s="9">
        <v>4375</v>
      </c>
      <c r="E44" s="10">
        <v>1324006</v>
      </c>
    </row>
    <row r="45" spans="1:5" ht="18">
      <c r="A45" s="8" t="s">
        <v>174</v>
      </c>
      <c r="B45" s="8" t="s">
        <v>15</v>
      </c>
      <c r="C45" s="8" t="s">
        <v>183</v>
      </c>
      <c r="D45" s="9">
        <v>705882353</v>
      </c>
      <c r="E45" s="9">
        <v>1394</v>
      </c>
    </row>
    <row r="46" spans="1:5" ht="18">
      <c r="A46" s="8" t="s">
        <v>174</v>
      </c>
      <c r="B46" s="8" t="s">
        <v>15</v>
      </c>
      <c r="C46" s="8" t="s">
        <v>184</v>
      </c>
      <c r="D46" s="9">
        <v>777777778</v>
      </c>
      <c r="E46" s="11" t="s">
        <v>185</v>
      </c>
    </row>
    <row r="47" spans="1:5" ht="18">
      <c r="A47" s="8" t="s">
        <v>174</v>
      </c>
      <c r="B47" s="8" t="s">
        <v>19</v>
      </c>
      <c r="C47" s="8" t="s">
        <v>186</v>
      </c>
      <c r="D47" s="11" t="s">
        <v>187</v>
      </c>
      <c r="E47" s="9">
        <v>2608</v>
      </c>
    </row>
    <row r="48" spans="1:5" ht="18">
      <c r="A48" s="8" t="s">
        <v>174</v>
      </c>
      <c r="B48" s="8" t="s">
        <v>19</v>
      </c>
      <c r="C48" s="8" t="s">
        <v>188</v>
      </c>
      <c r="D48" s="11" t="s">
        <v>189</v>
      </c>
      <c r="E48" s="9">
        <v>1359</v>
      </c>
    </row>
    <row r="49" spans="1:5" ht="18">
      <c r="A49" s="8" t="s">
        <v>174</v>
      </c>
      <c r="B49" s="8" t="s">
        <v>19</v>
      </c>
      <c r="C49" s="8" t="s">
        <v>190</v>
      </c>
      <c r="D49" s="9">
        <v>153846154</v>
      </c>
      <c r="E49" s="9">
        <v>1501</v>
      </c>
    </row>
    <row r="50" spans="1:5" ht="18">
      <c r="A50" s="8" t="s">
        <v>191</v>
      </c>
      <c r="B50" s="8" t="s">
        <v>11</v>
      </c>
      <c r="C50" s="8" t="s">
        <v>14</v>
      </c>
      <c r="D50" s="11">
        <v>1</v>
      </c>
      <c r="E50" s="9">
        <v>829</v>
      </c>
    </row>
    <row r="51" spans="1:5" ht="18">
      <c r="A51" s="8" t="s">
        <v>191</v>
      </c>
      <c r="B51" s="8" t="s">
        <v>11</v>
      </c>
      <c r="C51" s="8" t="s">
        <v>12</v>
      </c>
      <c r="D51" s="9">
        <v>923076923</v>
      </c>
      <c r="E51" s="9">
        <v>1498</v>
      </c>
    </row>
    <row r="52" spans="1:5" ht="18">
      <c r="A52" s="8" t="s">
        <v>191</v>
      </c>
      <c r="B52" s="8" t="s">
        <v>11</v>
      </c>
      <c r="C52" s="8" t="s">
        <v>13</v>
      </c>
      <c r="D52" s="11">
        <v>1</v>
      </c>
      <c r="E52" s="9">
        <v>1095</v>
      </c>
    </row>
    <row r="53" spans="1:5" ht="18">
      <c r="A53" s="8" t="s">
        <v>191</v>
      </c>
      <c r="B53" s="8" t="s">
        <v>23</v>
      </c>
      <c r="C53" s="8" t="s">
        <v>24</v>
      </c>
      <c r="D53" s="11">
        <v>0</v>
      </c>
      <c r="E53" s="9">
        <v>1817</v>
      </c>
    </row>
    <row r="54" spans="1:5" ht="18">
      <c r="A54" s="8" t="s">
        <v>191</v>
      </c>
      <c r="B54" s="8" t="s">
        <v>23</v>
      </c>
      <c r="C54" s="8" t="s">
        <v>26</v>
      </c>
      <c r="D54" s="11" t="s">
        <v>192</v>
      </c>
      <c r="E54" s="9">
        <v>1391</v>
      </c>
    </row>
    <row r="55" spans="1:5" ht="18">
      <c r="A55" s="8" t="s">
        <v>191</v>
      </c>
      <c r="B55" s="8" t="s">
        <v>23</v>
      </c>
      <c r="C55" s="8" t="s">
        <v>25</v>
      </c>
      <c r="D55" s="9">
        <v>83333333</v>
      </c>
      <c r="E55" s="10">
        <v>1765949</v>
      </c>
    </row>
    <row r="56" spans="1:5" ht="18">
      <c r="A56" s="8" t="s">
        <v>191</v>
      </c>
      <c r="B56" s="8" t="s">
        <v>15</v>
      </c>
      <c r="C56" s="8" t="s">
        <v>16</v>
      </c>
      <c r="D56" s="9">
        <v>818181818</v>
      </c>
      <c r="E56" s="9">
        <v>1183</v>
      </c>
    </row>
    <row r="57" spans="1:5" ht="18">
      <c r="A57" s="8" t="s">
        <v>191</v>
      </c>
      <c r="B57" s="8" t="s">
        <v>15</v>
      </c>
      <c r="C57" s="8" t="s">
        <v>17</v>
      </c>
      <c r="D57" s="9">
        <v>727272727</v>
      </c>
      <c r="E57" s="9">
        <v>1436</v>
      </c>
    </row>
    <row r="58" spans="1:5" ht="18">
      <c r="A58" s="8" t="s">
        <v>191</v>
      </c>
      <c r="B58" s="8" t="s">
        <v>15</v>
      </c>
      <c r="C58" s="8" t="s">
        <v>193</v>
      </c>
      <c r="D58" s="9">
        <v>882352941</v>
      </c>
      <c r="E58" s="9">
        <v>1201</v>
      </c>
    </row>
    <row r="59" spans="1:5" ht="18">
      <c r="A59" s="8" t="s">
        <v>191</v>
      </c>
      <c r="B59" s="8" t="s">
        <v>19</v>
      </c>
      <c r="C59" s="8" t="s">
        <v>22</v>
      </c>
      <c r="D59" s="9">
        <v>117647059</v>
      </c>
      <c r="E59" s="9">
        <v>1482</v>
      </c>
    </row>
    <row r="60" spans="1:5" ht="18">
      <c r="A60" s="8" t="s">
        <v>191</v>
      </c>
      <c r="B60" s="8" t="s">
        <v>19</v>
      </c>
      <c r="C60" s="8" t="s">
        <v>20</v>
      </c>
      <c r="D60" s="9">
        <v>111111111</v>
      </c>
      <c r="E60" s="11" t="s">
        <v>194</v>
      </c>
    </row>
    <row r="61" spans="1:5" ht="18">
      <c r="A61" s="8" t="s">
        <v>191</v>
      </c>
      <c r="B61" s="8" t="s">
        <v>19</v>
      </c>
      <c r="C61" s="8" t="s">
        <v>195</v>
      </c>
      <c r="D61" s="9">
        <v>3125</v>
      </c>
      <c r="E61" s="10">
        <v>1371488</v>
      </c>
    </row>
    <row r="62" spans="1:5" ht="18">
      <c r="A62" s="8" t="s">
        <v>196</v>
      </c>
      <c r="B62" s="8" t="s">
        <v>11</v>
      </c>
      <c r="C62" s="8" t="s">
        <v>197</v>
      </c>
      <c r="D62" s="9">
        <v>941176471</v>
      </c>
      <c r="E62" s="9">
        <v>1372</v>
      </c>
    </row>
    <row r="63" spans="1:5" ht="18">
      <c r="A63" s="8" t="s">
        <v>196</v>
      </c>
      <c r="B63" s="8" t="s">
        <v>11</v>
      </c>
      <c r="C63" s="8" t="s">
        <v>198</v>
      </c>
      <c r="D63" s="11">
        <v>1</v>
      </c>
      <c r="E63" s="9">
        <v>1641</v>
      </c>
    </row>
    <row r="64" spans="1:5" ht="18">
      <c r="A64" s="8" t="s">
        <v>196</v>
      </c>
      <c r="B64" s="8" t="s">
        <v>11</v>
      </c>
      <c r="C64" s="8" t="s">
        <v>199</v>
      </c>
      <c r="D64" s="11">
        <v>1</v>
      </c>
      <c r="E64" s="10" t="s">
        <v>200</v>
      </c>
    </row>
    <row r="65" spans="1:5" ht="18">
      <c r="A65" s="8" t="s">
        <v>196</v>
      </c>
      <c r="B65" s="8" t="s">
        <v>23</v>
      </c>
      <c r="C65" s="8" t="s">
        <v>201</v>
      </c>
      <c r="D65" s="11">
        <v>0</v>
      </c>
      <c r="E65" s="11" t="s">
        <v>202</v>
      </c>
    </row>
    <row r="66" spans="1:5" ht="18">
      <c r="A66" s="8" t="s">
        <v>196</v>
      </c>
      <c r="B66" s="8" t="s">
        <v>23</v>
      </c>
      <c r="C66" s="8" t="s">
        <v>203</v>
      </c>
      <c r="D66" s="11">
        <v>0</v>
      </c>
      <c r="E66" s="9">
        <v>1286</v>
      </c>
    </row>
    <row r="67" spans="1:5" ht="18">
      <c r="A67" s="8" t="s">
        <v>196</v>
      </c>
      <c r="B67" s="8" t="s">
        <v>23</v>
      </c>
      <c r="C67" s="8" t="s">
        <v>204</v>
      </c>
      <c r="D67" s="9">
        <v>181818182</v>
      </c>
      <c r="E67" s="9">
        <v>2757</v>
      </c>
    </row>
    <row r="68" spans="1:5" ht="18">
      <c r="A68" s="8" t="s">
        <v>196</v>
      </c>
      <c r="B68" s="8" t="s">
        <v>15</v>
      </c>
      <c r="C68" s="8" t="s">
        <v>205</v>
      </c>
      <c r="D68" s="9">
        <v>615384615</v>
      </c>
      <c r="E68" s="9">
        <v>2419</v>
      </c>
    </row>
    <row r="69" spans="1:5" ht="18">
      <c r="A69" s="8" t="s">
        <v>196</v>
      </c>
      <c r="B69" s="8" t="s">
        <v>15</v>
      </c>
      <c r="C69" s="8" t="s">
        <v>206</v>
      </c>
      <c r="D69" s="11" t="s">
        <v>187</v>
      </c>
      <c r="E69" s="10">
        <v>1890132</v>
      </c>
    </row>
    <row r="70" spans="1:5" ht="18">
      <c r="A70" s="8" t="s">
        <v>196</v>
      </c>
      <c r="B70" s="8" t="s">
        <v>15</v>
      </c>
      <c r="C70" s="8" t="s">
        <v>207</v>
      </c>
      <c r="D70" s="11" t="s">
        <v>153</v>
      </c>
      <c r="E70" s="9">
        <v>1392</v>
      </c>
    </row>
    <row r="71" spans="1:5" ht="18">
      <c r="A71" s="8" t="s">
        <v>196</v>
      </c>
      <c r="B71" s="8" t="s">
        <v>19</v>
      </c>
      <c r="C71" s="8" t="s">
        <v>208</v>
      </c>
      <c r="D71" s="9">
        <v>538461538</v>
      </c>
      <c r="E71" s="9">
        <v>1429</v>
      </c>
    </row>
    <row r="72" spans="1:5" ht="18">
      <c r="A72" s="8" t="s">
        <v>196</v>
      </c>
      <c r="B72" s="8" t="s">
        <v>19</v>
      </c>
      <c r="C72" s="8" t="s">
        <v>209</v>
      </c>
      <c r="D72" s="9">
        <v>583333333</v>
      </c>
      <c r="E72" s="9">
        <v>1946</v>
      </c>
    </row>
    <row r="73" spans="1:5" ht="18">
      <c r="A73" s="8" t="s">
        <v>196</v>
      </c>
      <c r="B73" s="8" t="s">
        <v>19</v>
      </c>
      <c r="C73" s="8" t="s">
        <v>210</v>
      </c>
      <c r="D73" s="9">
        <v>625</v>
      </c>
      <c r="E73" s="10">
        <v>1302092</v>
      </c>
    </row>
    <row r="74" spans="1:5" ht="18">
      <c r="A74" s="8" t="s">
        <v>211</v>
      </c>
      <c r="B74" s="8" t="s">
        <v>11</v>
      </c>
      <c r="C74" s="8" t="s">
        <v>212</v>
      </c>
      <c r="D74" s="9">
        <v>875</v>
      </c>
      <c r="E74" s="9">
        <v>1148</v>
      </c>
    </row>
    <row r="75" spans="1:5" ht="18">
      <c r="A75" s="8" t="s">
        <v>211</v>
      </c>
      <c r="B75" s="8" t="s">
        <v>11</v>
      </c>
      <c r="C75" s="8" t="s">
        <v>213</v>
      </c>
      <c r="D75" s="9">
        <v>764705882</v>
      </c>
      <c r="E75" s="9">
        <v>1405</v>
      </c>
    </row>
    <row r="76" spans="1:5" ht="18">
      <c r="A76" s="8" t="s">
        <v>211</v>
      </c>
      <c r="B76" s="8" t="s">
        <v>11</v>
      </c>
      <c r="C76" s="8" t="s">
        <v>214</v>
      </c>
      <c r="D76" s="11">
        <v>1</v>
      </c>
      <c r="E76" s="9">
        <v>1631</v>
      </c>
    </row>
    <row r="77" spans="1:5" ht="18">
      <c r="A77" s="8" t="s">
        <v>211</v>
      </c>
      <c r="B77" s="8" t="s">
        <v>23</v>
      </c>
      <c r="C77" s="8" t="s">
        <v>215</v>
      </c>
      <c r="D77" s="9">
        <v>117647059</v>
      </c>
      <c r="E77" s="9">
        <v>2337</v>
      </c>
    </row>
    <row r="78" spans="1:5" ht="18">
      <c r="A78" s="8" t="s">
        <v>211</v>
      </c>
      <c r="B78" s="8" t="s">
        <v>23</v>
      </c>
      <c r="C78" s="8" t="s">
        <v>216</v>
      </c>
      <c r="D78" s="9">
        <v>90909091</v>
      </c>
      <c r="E78" s="9">
        <v>1549</v>
      </c>
    </row>
    <row r="79" spans="1:5" ht="18">
      <c r="A79" s="8" t="s">
        <v>211</v>
      </c>
      <c r="B79" s="8" t="s">
        <v>23</v>
      </c>
      <c r="C79" s="8" t="s">
        <v>217</v>
      </c>
      <c r="D79" s="9">
        <v>90909091</v>
      </c>
      <c r="E79" s="9">
        <v>1901</v>
      </c>
    </row>
    <row r="80" spans="1:5" ht="18">
      <c r="A80" s="8" t="s">
        <v>211</v>
      </c>
      <c r="B80" s="8" t="s">
        <v>15</v>
      </c>
      <c r="C80" s="8" t="s">
        <v>218</v>
      </c>
      <c r="D80" s="9">
        <v>692307692</v>
      </c>
      <c r="E80" s="9">
        <v>1606</v>
      </c>
    </row>
    <row r="81" spans="1:5" ht="18">
      <c r="A81" s="8" t="s">
        <v>211</v>
      </c>
      <c r="B81" s="8" t="s">
        <v>15</v>
      </c>
      <c r="C81" s="8" t="s">
        <v>219</v>
      </c>
      <c r="D81" s="11" t="s">
        <v>187</v>
      </c>
      <c r="E81" s="10" t="s">
        <v>220</v>
      </c>
    </row>
    <row r="82" spans="1:5" ht="18">
      <c r="A82" s="8" t="s">
        <v>211</v>
      </c>
      <c r="B82" s="8" t="s">
        <v>15</v>
      </c>
      <c r="C82" s="8" t="s">
        <v>221</v>
      </c>
      <c r="D82" s="11" t="s">
        <v>222</v>
      </c>
      <c r="E82" s="9">
        <v>1046</v>
      </c>
    </row>
    <row r="83" spans="1:5" ht="18">
      <c r="A83" s="8" t="s">
        <v>211</v>
      </c>
      <c r="B83" s="8" t="s">
        <v>19</v>
      </c>
      <c r="C83" s="8" t="s">
        <v>223</v>
      </c>
      <c r="D83" s="11" t="s">
        <v>187</v>
      </c>
      <c r="E83" s="10">
        <v>158882</v>
      </c>
    </row>
    <row r="84" spans="1:5" ht="18">
      <c r="A84" s="8" t="s">
        <v>211</v>
      </c>
      <c r="B84" s="8" t="s">
        <v>19</v>
      </c>
      <c r="C84" s="8" t="s">
        <v>224</v>
      </c>
      <c r="D84" s="11" t="s">
        <v>225</v>
      </c>
      <c r="E84" s="10">
        <v>1243684</v>
      </c>
    </row>
    <row r="85" spans="1:5" ht="18">
      <c r="A85" s="8" t="s">
        <v>211</v>
      </c>
      <c r="B85" s="8" t="s">
        <v>19</v>
      </c>
      <c r="C85" s="8" t="s">
        <v>226</v>
      </c>
      <c r="D85" s="9">
        <v>307692308</v>
      </c>
      <c r="E85" s="9">
        <v>1582</v>
      </c>
    </row>
    <row r="86" spans="1:5" ht="18">
      <c r="A86" s="8" t="s">
        <v>227</v>
      </c>
      <c r="B86" s="8" t="s">
        <v>11</v>
      </c>
      <c r="C86" s="8" t="s">
        <v>228</v>
      </c>
      <c r="D86" s="9">
        <v>916666667</v>
      </c>
      <c r="E86" s="10">
        <v>107749</v>
      </c>
    </row>
    <row r="87" spans="1:5" ht="18">
      <c r="A87" s="8" t="s">
        <v>227</v>
      </c>
      <c r="B87" s="8" t="s">
        <v>11</v>
      </c>
      <c r="C87" s="8" t="s">
        <v>229</v>
      </c>
      <c r="D87" s="11" t="s">
        <v>230</v>
      </c>
      <c r="E87" s="9">
        <v>1153</v>
      </c>
    </row>
    <row r="88" spans="1:5" ht="18">
      <c r="A88" s="8" t="s">
        <v>227</v>
      </c>
      <c r="B88" s="8" t="s">
        <v>11</v>
      </c>
      <c r="C88" s="8" t="s">
        <v>231</v>
      </c>
      <c r="D88" s="11">
        <v>1</v>
      </c>
      <c r="E88" s="9">
        <v>1447</v>
      </c>
    </row>
    <row r="89" spans="1:5" ht="18">
      <c r="A89" s="8" t="s">
        <v>227</v>
      </c>
      <c r="B89" s="8" t="s">
        <v>23</v>
      </c>
      <c r="C89" s="8" t="s">
        <v>232</v>
      </c>
      <c r="D89" s="11">
        <v>0</v>
      </c>
      <c r="E89" s="10">
        <v>827277</v>
      </c>
    </row>
    <row r="90" spans="1:5" ht="18">
      <c r="A90" s="8" t="s">
        <v>227</v>
      </c>
      <c r="B90" s="8" t="s">
        <v>23</v>
      </c>
      <c r="C90" s="8" t="s">
        <v>233</v>
      </c>
      <c r="D90" s="11">
        <v>0</v>
      </c>
      <c r="E90" s="9">
        <v>1721</v>
      </c>
    </row>
    <row r="91" spans="1:5" ht="18">
      <c r="A91" s="8" t="s">
        <v>227</v>
      </c>
      <c r="B91" s="8" t="s">
        <v>23</v>
      </c>
      <c r="C91" s="8" t="s">
        <v>234</v>
      </c>
      <c r="D91" s="9">
        <v>176470588</v>
      </c>
      <c r="E91" s="9">
        <v>2058</v>
      </c>
    </row>
    <row r="92" spans="1:5" ht="18">
      <c r="A92" s="8" t="s">
        <v>227</v>
      </c>
      <c r="B92" s="8" t="s">
        <v>15</v>
      </c>
      <c r="C92" s="8" t="s">
        <v>235</v>
      </c>
      <c r="D92" s="9">
        <v>615384615</v>
      </c>
      <c r="E92" s="9">
        <v>1821</v>
      </c>
    </row>
    <row r="93" spans="1:5" ht="18">
      <c r="A93" s="8" t="s">
        <v>227</v>
      </c>
      <c r="B93" s="8" t="s">
        <v>15</v>
      </c>
      <c r="C93" s="8" t="s">
        <v>236</v>
      </c>
      <c r="D93" s="11" t="s">
        <v>187</v>
      </c>
      <c r="E93" s="9">
        <v>1624</v>
      </c>
    </row>
    <row r="94" spans="1:5" ht="18">
      <c r="A94" s="8" t="s">
        <v>227</v>
      </c>
      <c r="B94" s="8" t="s">
        <v>15</v>
      </c>
      <c r="C94" s="8" t="s">
        <v>237</v>
      </c>
      <c r="D94" s="9">
        <v>625</v>
      </c>
      <c r="E94" s="9">
        <v>2003</v>
      </c>
    </row>
    <row r="95" spans="1:5" ht="18">
      <c r="A95" s="8" t="s">
        <v>227</v>
      </c>
      <c r="B95" s="8" t="s">
        <v>19</v>
      </c>
      <c r="C95" s="8" t="s">
        <v>238</v>
      </c>
      <c r="D95" s="11">
        <v>1</v>
      </c>
      <c r="E95" s="9">
        <v>1173</v>
      </c>
    </row>
    <row r="96" spans="1:5" ht="18">
      <c r="A96" s="8" t="s">
        <v>227</v>
      </c>
      <c r="B96" s="8" t="s">
        <v>19</v>
      </c>
      <c r="C96" s="8" t="s">
        <v>239</v>
      </c>
      <c r="D96" s="9">
        <v>818181818</v>
      </c>
      <c r="E96" s="11" t="s">
        <v>240</v>
      </c>
    </row>
    <row r="97" spans="1:5" ht="18">
      <c r="A97" s="8" t="s">
        <v>227</v>
      </c>
      <c r="B97" s="8" t="s">
        <v>19</v>
      </c>
      <c r="C97" s="8" t="s">
        <v>241</v>
      </c>
      <c r="D97" s="9">
        <v>818181818</v>
      </c>
      <c r="E97" s="9">
        <v>1413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61"/>
  <sheetViews>
    <sheetView tabSelected="1" workbookViewId="0">
      <pane ySplit="1" topLeftCell="A45" activePane="bottomLeft" state="frozen"/>
      <selection pane="bottomLeft" activeCell="B59" sqref="B59"/>
    </sheetView>
  </sheetViews>
  <sheetFormatPr baseColWidth="10" defaultColWidth="12.6640625" defaultRowHeight="15.75" customHeight="1"/>
  <cols>
    <col min="2" max="2" width="133" customWidth="1"/>
    <col min="4" max="4" width="58.77734375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 t="s">
        <v>102</v>
      </c>
      <c r="B2" s="2" t="s">
        <v>104</v>
      </c>
      <c r="C2" s="2" t="s">
        <v>11</v>
      </c>
      <c r="D2" s="2" t="s">
        <v>109</v>
      </c>
      <c r="E2" s="3">
        <f t="shared" ref="E2:E161" si="0">LEN(D2)</f>
        <v>68</v>
      </c>
    </row>
    <row r="3" spans="1:5">
      <c r="A3" s="2" t="s">
        <v>102</v>
      </c>
      <c r="B3" s="2" t="s">
        <v>104</v>
      </c>
      <c r="C3" s="2" t="s">
        <v>11</v>
      </c>
      <c r="D3" s="1" t="s">
        <v>242</v>
      </c>
      <c r="E3" s="3">
        <f t="shared" si="0"/>
        <v>66</v>
      </c>
    </row>
    <row r="4" spans="1:5">
      <c r="A4" s="2" t="s">
        <v>102</v>
      </c>
      <c r="B4" s="2" t="s">
        <v>104</v>
      </c>
      <c r="C4" s="2" t="s">
        <v>11</v>
      </c>
      <c r="D4" s="2" t="s">
        <v>110</v>
      </c>
      <c r="E4" s="3">
        <f t="shared" si="0"/>
        <v>64</v>
      </c>
    </row>
    <row r="5" spans="1:5">
      <c r="A5" s="2" t="s">
        <v>102</v>
      </c>
      <c r="B5" s="2" t="s">
        <v>104</v>
      </c>
      <c r="C5" s="2" t="s">
        <v>11</v>
      </c>
      <c r="D5" s="2" t="s">
        <v>108</v>
      </c>
      <c r="E5" s="3">
        <f t="shared" si="0"/>
        <v>63</v>
      </c>
    </row>
    <row r="6" spans="1:5">
      <c r="A6" s="2" t="s">
        <v>102</v>
      </c>
      <c r="B6" s="2" t="s">
        <v>104</v>
      </c>
      <c r="C6" s="2" t="s">
        <v>11</v>
      </c>
      <c r="D6" s="1" t="s">
        <v>243</v>
      </c>
      <c r="E6" s="3">
        <f t="shared" si="0"/>
        <v>63</v>
      </c>
    </row>
    <row r="7" spans="1:5">
      <c r="A7" s="2" t="s">
        <v>102</v>
      </c>
      <c r="B7" s="2" t="s">
        <v>104</v>
      </c>
      <c r="C7" s="2" t="s">
        <v>23</v>
      </c>
      <c r="D7" s="2" t="s">
        <v>106</v>
      </c>
      <c r="E7" s="3">
        <f t="shared" si="0"/>
        <v>66</v>
      </c>
    </row>
    <row r="8" spans="1:5">
      <c r="A8" s="2" t="s">
        <v>102</v>
      </c>
      <c r="B8" s="2" t="s">
        <v>104</v>
      </c>
      <c r="C8" s="2" t="s">
        <v>23</v>
      </c>
      <c r="D8" s="2" t="s">
        <v>107</v>
      </c>
      <c r="E8" s="3">
        <f t="shared" si="0"/>
        <v>65</v>
      </c>
    </row>
    <row r="9" spans="1:5">
      <c r="A9" s="2" t="s">
        <v>102</v>
      </c>
      <c r="B9" s="2" t="s">
        <v>104</v>
      </c>
      <c r="C9" s="2" t="s">
        <v>23</v>
      </c>
      <c r="D9" s="1" t="s">
        <v>244</v>
      </c>
      <c r="E9" s="3">
        <f t="shared" si="0"/>
        <v>65</v>
      </c>
    </row>
    <row r="10" spans="1:5">
      <c r="A10" s="2" t="s">
        <v>102</v>
      </c>
      <c r="B10" s="2" t="s">
        <v>104</v>
      </c>
      <c r="C10" s="2" t="s">
        <v>23</v>
      </c>
      <c r="D10" s="2" t="s">
        <v>105</v>
      </c>
      <c r="E10" s="3">
        <f t="shared" si="0"/>
        <v>62</v>
      </c>
    </row>
    <row r="11" spans="1:5">
      <c r="A11" s="2" t="s">
        <v>102</v>
      </c>
      <c r="B11" s="2" t="s">
        <v>104</v>
      </c>
      <c r="C11" s="2" t="s">
        <v>23</v>
      </c>
      <c r="D11" s="1" t="s">
        <v>245</v>
      </c>
      <c r="E11" s="3">
        <f t="shared" si="0"/>
        <v>62</v>
      </c>
    </row>
    <row r="12" spans="1:5">
      <c r="A12" s="2" t="s">
        <v>102</v>
      </c>
      <c r="B12" s="2" t="s">
        <v>104</v>
      </c>
      <c r="C12" s="2" t="s">
        <v>15</v>
      </c>
      <c r="D12" s="2" t="s">
        <v>113</v>
      </c>
      <c r="E12" s="3">
        <f t="shared" si="0"/>
        <v>65</v>
      </c>
    </row>
    <row r="13" spans="1:5">
      <c r="A13" s="2" t="s">
        <v>102</v>
      </c>
      <c r="B13" s="2" t="s">
        <v>104</v>
      </c>
      <c r="C13" s="2" t="s">
        <v>15</v>
      </c>
      <c r="D13" s="1" t="s">
        <v>246</v>
      </c>
      <c r="E13" s="3">
        <f t="shared" si="0"/>
        <v>58</v>
      </c>
    </row>
    <row r="14" spans="1:5">
      <c r="A14" s="2" t="s">
        <v>102</v>
      </c>
      <c r="B14" s="2" t="s">
        <v>104</v>
      </c>
      <c r="C14" s="2" t="s">
        <v>15</v>
      </c>
      <c r="D14" s="2" t="s">
        <v>112</v>
      </c>
      <c r="E14" s="3">
        <f t="shared" si="0"/>
        <v>62</v>
      </c>
    </row>
    <row r="15" spans="1:5">
      <c r="A15" s="2" t="s">
        <v>102</v>
      </c>
      <c r="B15" s="2" t="s">
        <v>104</v>
      </c>
      <c r="C15" s="2" t="s">
        <v>15</v>
      </c>
      <c r="D15" s="2" t="s">
        <v>111</v>
      </c>
      <c r="E15" s="3">
        <f t="shared" si="0"/>
        <v>61</v>
      </c>
    </row>
    <row r="16" spans="1:5">
      <c r="A16" s="2" t="s">
        <v>102</v>
      </c>
      <c r="B16" s="2" t="s">
        <v>104</v>
      </c>
      <c r="C16" s="2" t="s">
        <v>15</v>
      </c>
      <c r="D16" s="1" t="s">
        <v>247</v>
      </c>
      <c r="E16" s="3">
        <f t="shared" si="0"/>
        <v>61</v>
      </c>
    </row>
    <row r="17" spans="1:5">
      <c r="A17" s="2" t="s">
        <v>102</v>
      </c>
      <c r="B17" s="2" t="s">
        <v>104</v>
      </c>
      <c r="C17" s="2" t="s">
        <v>19</v>
      </c>
      <c r="D17" s="2" t="s">
        <v>115</v>
      </c>
      <c r="E17" s="3">
        <f t="shared" si="0"/>
        <v>68</v>
      </c>
    </row>
    <row r="18" spans="1:5">
      <c r="A18" s="2" t="s">
        <v>102</v>
      </c>
      <c r="B18" s="2" t="s">
        <v>104</v>
      </c>
      <c r="C18" s="2" t="s">
        <v>19</v>
      </c>
      <c r="D18" s="2" t="s">
        <v>116</v>
      </c>
      <c r="E18" s="3">
        <f t="shared" si="0"/>
        <v>64</v>
      </c>
    </row>
    <row r="19" spans="1:5">
      <c r="A19" s="2" t="s">
        <v>102</v>
      </c>
      <c r="B19" s="2" t="s">
        <v>104</v>
      </c>
      <c r="C19" s="2" t="s">
        <v>19</v>
      </c>
      <c r="D19" s="2" t="s">
        <v>114</v>
      </c>
      <c r="E19" s="3">
        <f t="shared" si="0"/>
        <v>63</v>
      </c>
    </row>
    <row r="20" spans="1:5">
      <c r="A20" s="2" t="s">
        <v>102</v>
      </c>
      <c r="B20" s="2" t="s">
        <v>104</v>
      </c>
      <c r="C20" s="2" t="s">
        <v>19</v>
      </c>
      <c r="D20" s="1" t="s">
        <v>248</v>
      </c>
      <c r="E20" s="3">
        <f t="shared" si="0"/>
        <v>58</v>
      </c>
    </row>
    <row r="21" spans="1:5">
      <c r="A21" s="2" t="s">
        <v>102</v>
      </c>
      <c r="B21" s="2" t="s">
        <v>104</v>
      </c>
      <c r="C21" s="2" t="s">
        <v>19</v>
      </c>
      <c r="D21" s="1" t="s">
        <v>249</v>
      </c>
      <c r="E21" s="3">
        <f t="shared" si="0"/>
        <v>57</v>
      </c>
    </row>
    <row r="22" spans="1:5">
      <c r="A22" s="2" t="s">
        <v>27</v>
      </c>
      <c r="B22" s="2" t="s">
        <v>29</v>
      </c>
      <c r="C22" s="2" t="s">
        <v>11</v>
      </c>
      <c r="D22" s="2" t="s">
        <v>40</v>
      </c>
      <c r="E22" s="3">
        <f t="shared" si="0"/>
        <v>61</v>
      </c>
    </row>
    <row r="23" spans="1:5">
      <c r="A23" s="2" t="s">
        <v>27</v>
      </c>
      <c r="B23" s="2" t="s">
        <v>29</v>
      </c>
      <c r="C23" s="2" t="s">
        <v>11</v>
      </c>
      <c r="D23" s="2" t="s">
        <v>41</v>
      </c>
      <c r="E23" s="3">
        <f t="shared" si="0"/>
        <v>61</v>
      </c>
    </row>
    <row r="24" spans="1:5">
      <c r="A24" s="2" t="s">
        <v>27</v>
      </c>
      <c r="B24" s="2" t="s">
        <v>29</v>
      </c>
      <c r="C24" s="2" t="s">
        <v>11</v>
      </c>
      <c r="D24" s="2" t="s">
        <v>39</v>
      </c>
      <c r="E24" s="3">
        <f t="shared" si="0"/>
        <v>60</v>
      </c>
    </row>
    <row r="25" spans="1:5">
      <c r="A25" s="2" t="s">
        <v>27</v>
      </c>
      <c r="B25" s="2" t="s">
        <v>29</v>
      </c>
      <c r="C25" s="2" t="s">
        <v>11</v>
      </c>
      <c r="D25" s="1" t="s">
        <v>250</v>
      </c>
      <c r="E25" s="3">
        <f t="shared" si="0"/>
        <v>59</v>
      </c>
    </row>
    <row r="26" spans="1:5">
      <c r="A26" s="2" t="s">
        <v>27</v>
      </c>
      <c r="B26" s="2" t="s">
        <v>29</v>
      </c>
      <c r="C26" s="2" t="s">
        <v>11</v>
      </c>
      <c r="D26" s="1" t="s">
        <v>251</v>
      </c>
      <c r="E26" s="3">
        <f t="shared" si="0"/>
        <v>58</v>
      </c>
    </row>
    <row r="27" spans="1:5">
      <c r="A27" s="2" t="s">
        <v>27</v>
      </c>
      <c r="B27" s="2" t="s">
        <v>29</v>
      </c>
      <c r="C27" s="2" t="s">
        <v>23</v>
      </c>
      <c r="D27" s="2" t="s">
        <v>37</v>
      </c>
      <c r="E27" s="3">
        <f t="shared" si="0"/>
        <v>60</v>
      </c>
    </row>
    <row r="28" spans="1:5">
      <c r="A28" s="2" t="s">
        <v>27</v>
      </c>
      <c r="B28" s="2" t="s">
        <v>29</v>
      </c>
      <c r="C28" s="2" t="s">
        <v>23</v>
      </c>
      <c r="D28" s="1" t="s">
        <v>252</v>
      </c>
      <c r="E28" s="3">
        <f t="shared" si="0"/>
        <v>63</v>
      </c>
    </row>
    <row r="29" spans="1:5">
      <c r="A29" s="2" t="s">
        <v>27</v>
      </c>
      <c r="B29" s="2" t="s">
        <v>29</v>
      </c>
      <c r="C29" s="2" t="s">
        <v>23</v>
      </c>
      <c r="D29" s="2" t="s">
        <v>36</v>
      </c>
      <c r="E29" s="3">
        <f t="shared" si="0"/>
        <v>58</v>
      </c>
    </row>
    <row r="30" spans="1:5">
      <c r="A30" s="2" t="s">
        <v>27</v>
      </c>
      <c r="B30" s="2" t="s">
        <v>29</v>
      </c>
      <c r="C30" s="2" t="s">
        <v>23</v>
      </c>
      <c r="D30" s="2" t="s">
        <v>38</v>
      </c>
      <c r="E30" s="3">
        <f t="shared" si="0"/>
        <v>56</v>
      </c>
    </row>
    <row r="31" spans="1:5">
      <c r="A31" s="2" t="s">
        <v>27</v>
      </c>
      <c r="B31" s="2" t="s">
        <v>29</v>
      </c>
      <c r="C31" s="2" t="s">
        <v>23</v>
      </c>
      <c r="D31" s="1" t="s">
        <v>253</v>
      </c>
      <c r="E31" s="3">
        <f t="shared" si="0"/>
        <v>56</v>
      </c>
    </row>
    <row r="32" spans="1:5">
      <c r="A32" s="2" t="s">
        <v>27</v>
      </c>
      <c r="B32" s="2" t="s">
        <v>29</v>
      </c>
      <c r="C32" s="2" t="s">
        <v>15</v>
      </c>
      <c r="D32" s="2" t="s">
        <v>30</v>
      </c>
      <c r="E32" s="3">
        <f t="shared" si="0"/>
        <v>64</v>
      </c>
    </row>
    <row r="33" spans="1:5">
      <c r="A33" s="2" t="s">
        <v>27</v>
      </c>
      <c r="B33" s="2" t="s">
        <v>29</v>
      </c>
      <c r="C33" s="2" t="s">
        <v>15</v>
      </c>
      <c r="D33" s="2" t="s">
        <v>32</v>
      </c>
      <c r="E33" s="3">
        <f t="shared" si="0"/>
        <v>62</v>
      </c>
    </row>
    <row r="34" spans="1:5">
      <c r="A34" s="2" t="s">
        <v>27</v>
      </c>
      <c r="B34" s="2" t="s">
        <v>29</v>
      </c>
      <c r="C34" s="2" t="s">
        <v>15</v>
      </c>
      <c r="D34" s="1" t="s">
        <v>254</v>
      </c>
      <c r="E34" s="3">
        <f t="shared" si="0"/>
        <v>56</v>
      </c>
    </row>
    <row r="35" spans="1:5">
      <c r="A35" s="2" t="s">
        <v>27</v>
      </c>
      <c r="B35" s="2" t="s">
        <v>29</v>
      </c>
      <c r="C35" s="2" t="s">
        <v>15</v>
      </c>
      <c r="D35" s="12" t="s">
        <v>255</v>
      </c>
      <c r="E35" s="3">
        <f t="shared" si="0"/>
        <v>61</v>
      </c>
    </row>
    <row r="36" spans="1:5">
      <c r="A36" s="2" t="s">
        <v>27</v>
      </c>
      <c r="B36" s="2" t="s">
        <v>29</v>
      </c>
      <c r="C36" s="2" t="s">
        <v>15</v>
      </c>
      <c r="D36" s="2" t="s">
        <v>31</v>
      </c>
      <c r="E36" s="3">
        <f t="shared" si="0"/>
        <v>56</v>
      </c>
    </row>
    <row r="37" spans="1:5">
      <c r="A37" s="2" t="s">
        <v>27</v>
      </c>
      <c r="B37" s="2" t="s">
        <v>29</v>
      </c>
      <c r="C37" s="2" t="s">
        <v>19</v>
      </c>
      <c r="D37" s="2" t="s">
        <v>33</v>
      </c>
      <c r="E37" s="3">
        <f t="shared" si="0"/>
        <v>59</v>
      </c>
    </row>
    <row r="38" spans="1:5">
      <c r="A38" s="2" t="s">
        <v>27</v>
      </c>
      <c r="B38" s="2" t="s">
        <v>29</v>
      </c>
      <c r="C38" s="2" t="s">
        <v>19</v>
      </c>
      <c r="D38" s="2" t="s">
        <v>35</v>
      </c>
      <c r="E38" s="3">
        <f t="shared" si="0"/>
        <v>57</v>
      </c>
    </row>
    <row r="39" spans="1:5">
      <c r="A39" s="2" t="s">
        <v>27</v>
      </c>
      <c r="B39" s="2" t="s">
        <v>29</v>
      </c>
      <c r="C39" s="2" t="s">
        <v>19</v>
      </c>
      <c r="D39" s="1" t="s">
        <v>256</v>
      </c>
      <c r="E39" s="3">
        <f t="shared" si="0"/>
        <v>57</v>
      </c>
    </row>
    <row r="40" spans="1:5">
      <c r="A40" s="2" t="s">
        <v>27</v>
      </c>
      <c r="B40" s="2" t="s">
        <v>29</v>
      </c>
      <c r="C40" s="2" t="s">
        <v>19</v>
      </c>
      <c r="D40" s="1" t="s">
        <v>257</v>
      </c>
      <c r="E40" s="3">
        <f t="shared" si="0"/>
        <v>57</v>
      </c>
    </row>
    <row r="41" spans="1:5">
      <c r="A41" s="2" t="s">
        <v>27</v>
      </c>
      <c r="B41" s="2" t="s">
        <v>29</v>
      </c>
      <c r="C41" s="2" t="s">
        <v>19</v>
      </c>
      <c r="D41" s="2" t="s">
        <v>34</v>
      </c>
      <c r="E41" s="3">
        <f t="shared" si="0"/>
        <v>55</v>
      </c>
    </row>
    <row r="42" spans="1:5">
      <c r="A42" s="2" t="s">
        <v>72</v>
      </c>
      <c r="B42" s="13" t="s">
        <v>307</v>
      </c>
      <c r="C42" s="2" t="s">
        <v>11</v>
      </c>
      <c r="D42" s="2" t="s">
        <v>76</v>
      </c>
      <c r="E42" s="3">
        <f t="shared" si="0"/>
        <v>65</v>
      </c>
    </row>
    <row r="43" spans="1:5">
      <c r="A43" s="2" t="s">
        <v>72</v>
      </c>
      <c r="B43" s="13" t="s">
        <v>307</v>
      </c>
      <c r="C43" s="2" t="s">
        <v>11</v>
      </c>
      <c r="D43" s="2" t="s">
        <v>75</v>
      </c>
      <c r="E43" s="3">
        <f t="shared" si="0"/>
        <v>64</v>
      </c>
    </row>
    <row r="44" spans="1:5">
      <c r="A44" s="2" t="s">
        <v>72</v>
      </c>
      <c r="B44" s="13" t="s">
        <v>307</v>
      </c>
      <c r="C44" s="2" t="s">
        <v>11</v>
      </c>
      <c r="D44" s="1" t="s">
        <v>258</v>
      </c>
      <c r="E44" s="3">
        <f t="shared" si="0"/>
        <v>63</v>
      </c>
    </row>
    <row r="45" spans="1:5">
      <c r="A45" s="2" t="s">
        <v>72</v>
      </c>
      <c r="B45" s="13" t="s">
        <v>307</v>
      </c>
      <c r="C45" s="2" t="s">
        <v>11</v>
      </c>
      <c r="D45" s="2" t="s">
        <v>77</v>
      </c>
      <c r="E45" s="3">
        <f t="shared" si="0"/>
        <v>62</v>
      </c>
    </row>
    <row r="46" spans="1:5">
      <c r="A46" s="2" t="s">
        <v>72</v>
      </c>
      <c r="B46" s="13" t="s">
        <v>307</v>
      </c>
      <c r="C46" s="2" t="s">
        <v>11</v>
      </c>
      <c r="D46" s="1" t="s">
        <v>259</v>
      </c>
      <c r="E46" s="3">
        <f t="shared" si="0"/>
        <v>62</v>
      </c>
    </row>
    <row r="47" spans="1:5">
      <c r="A47" s="2" t="s">
        <v>72</v>
      </c>
      <c r="B47" s="13" t="s">
        <v>307</v>
      </c>
      <c r="C47" s="2" t="s">
        <v>23</v>
      </c>
      <c r="D47" s="1" t="s">
        <v>260</v>
      </c>
      <c r="E47" s="3">
        <f t="shared" si="0"/>
        <v>66</v>
      </c>
    </row>
    <row r="48" spans="1:5">
      <c r="A48" s="2" t="s">
        <v>72</v>
      </c>
      <c r="B48" s="13" t="s">
        <v>307</v>
      </c>
      <c r="C48" s="2" t="s">
        <v>23</v>
      </c>
      <c r="D48" s="2" t="s">
        <v>86</v>
      </c>
      <c r="E48" s="3">
        <f t="shared" si="0"/>
        <v>64</v>
      </c>
    </row>
    <row r="49" spans="1:5">
      <c r="A49" s="2" t="s">
        <v>72</v>
      </c>
      <c r="B49" s="13" t="s">
        <v>307</v>
      </c>
      <c r="C49" s="2" t="s">
        <v>23</v>
      </c>
      <c r="D49" s="1" t="s">
        <v>261</v>
      </c>
      <c r="E49" s="3">
        <f t="shared" si="0"/>
        <v>64</v>
      </c>
    </row>
    <row r="50" spans="1:5">
      <c r="A50" s="2" t="s">
        <v>72</v>
      </c>
      <c r="B50" s="13" t="s">
        <v>307</v>
      </c>
      <c r="C50" s="2" t="s">
        <v>23</v>
      </c>
      <c r="D50" s="2" t="s">
        <v>84</v>
      </c>
      <c r="E50" s="3">
        <f t="shared" si="0"/>
        <v>60</v>
      </c>
    </row>
    <row r="51" spans="1:5">
      <c r="A51" s="2" t="s">
        <v>72</v>
      </c>
      <c r="B51" s="13" t="s">
        <v>307</v>
      </c>
      <c r="C51" s="2" t="s">
        <v>23</v>
      </c>
      <c r="D51" s="2" t="s">
        <v>85</v>
      </c>
      <c r="E51" s="3">
        <f t="shared" si="0"/>
        <v>60</v>
      </c>
    </row>
    <row r="52" spans="1:5">
      <c r="A52" s="2" t="s">
        <v>72</v>
      </c>
      <c r="B52" s="13" t="s">
        <v>307</v>
      </c>
      <c r="C52" s="2" t="s">
        <v>15</v>
      </c>
      <c r="D52" s="1" t="s">
        <v>262</v>
      </c>
      <c r="E52" s="3">
        <f t="shared" si="0"/>
        <v>61</v>
      </c>
    </row>
    <row r="53" spans="1:5">
      <c r="A53" s="2" t="s">
        <v>72</v>
      </c>
      <c r="B53" s="13" t="s">
        <v>307</v>
      </c>
      <c r="C53" s="2" t="s">
        <v>15</v>
      </c>
      <c r="D53" s="2" t="s">
        <v>80</v>
      </c>
      <c r="E53" s="3">
        <f t="shared" si="0"/>
        <v>65</v>
      </c>
    </row>
    <row r="54" spans="1:5">
      <c r="A54" s="2" t="s">
        <v>72</v>
      </c>
      <c r="B54" s="13" t="s">
        <v>307</v>
      </c>
      <c r="C54" s="2" t="s">
        <v>15</v>
      </c>
      <c r="D54" s="1" t="s">
        <v>263</v>
      </c>
      <c r="E54" s="3">
        <f t="shared" si="0"/>
        <v>59</v>
      </c>
    </row>
    <row r="55" spans="1:5">
      <c r="A55" s="2" t="s">
        <v>72</v>
      </c>
      <c r="B55" s="13" t="s">
        <v>307</v>
      </c>
      <c r="C55" s="2" t="s">
        <v>15</v>
      </c>
      <c r="D55" s="2" t="s">
        <v>78</v>
      </c>
      <c r="E55" s="3">
        <f t="shared" si="0"/>
        <v>61</v>
      </c>
    </row>
    <row r="56" spans="1:5">
      <c r="A56" s="2" t="s">
        <v>72</v>
      </c>
      <c r="B56" s="13" t="s">
        <v>307</v>
      </c>
      <c r="C56" s="2" t="s">
        <v>15</v>
      </c>
      <c r="D56" s="2" t="s">
        <v>79</v>
      </c>
      <c r="E56" s="3">
        <f t="shared" si="0"/>
        <v>61</v>
      </c>
    </row>
    <row r="57" spans="1:5">
      <c r="A57" s="2" t="s">
        <v>72</v>
      </c>
      <c r="B57" s="13" t="s">
        <v>307</v>
      </c>
      <c r="C57" s="2" t="s">
        <v>19</v>
      </c>
      <c r="D57" s="1" t="s">
        <v>264</v>
      </c>
      <c r="E57" s="3">
        <f t="shared" si="0"/>
        <v>65</v>
      </c>
    </row>
    <row r="58" spans="1:5">
      <c r="A58" s="2" t="s">
        <v>72</v>
      </c>
      <c r="B58" s="13" t="s">
        <v>307</v>
      </c>
      <c r="C58" s="2" t="s">
        <v>19</v>
      </c>
      <c r="D58" s="2" t="s">
        <v>82</v>
      </c>
      <c r="E58" s="3">
        <f t="shared" si="0"/>
        <v>64</v>
      </c>
    </row>
    <row r="59" spans="1:5">
      <c r="A59" s="2" t="s">
        <v>72</v>
      </c>
      <c r="B59" s="13" t="s">
        <v>307</v>
      </c>
      <c r="C59" s="2" t="s">
        <v>19</v>
      </c>
      <c r="D59" s="2" t="s">
        <v>83</v>
      </c>
      <c r="E59" s="3">
        <f t="shared" si="0"/>
        <v>63</v>
      </c>
    </row>
    <row r="60" spans="1:5">
      <c r="A60" s="2" t="s">
        <v>72</v>
      </c>
      <c r="B60" s="13" t="s">
        <v>307</v>
      </c>
      <c r="C60" s="2" t="s">
        <v>19</v>
      </c>
      <c r="D60" s="1" t="s">
        <v>265</v>
      </c>
      <c r="E60" s="3">
        <f t="shared" si="0"/>
        <v>62</v>
      </c>
    </row>
    <row r="61" spans="1:5">
      <c r="A61" s="2" t="s">
        <v>72</v>
      </c>
      <c r="B61" s="13" t="s">
        <v>307</v>
      </c>
      <c r="C61" s="2" t="s">
        <v>19</v>
      </c>
      <c r="D61" s="2" t="s">
        <v>81</v>
      </c>
      <c r="E61" s="3">
        <f t="shared" si="0"/>
        <v>58</v>
      </c>
    </row>
    <row r="62" spans="1:5">
      <c r="A62" s="2" t="s">
        <v>117</v>
      </c>
      <c r="B62" s="2" t="s">
        <v>119</v>
      </c>
      <c r="C62" s="2" t="s">
        <v>11</v>
      </c>
      <c r="D62" s="2" t="s">
        <v>123</v>
      </c>
      <c r="E62" s="3">
        <f t="shared" si="0"/>
        <v>68</v>
      </c>
    </row>
    <row r="63" spans="1:5">
      <c r="A63" s="2" t="s">
        <v>117</v>
      </c>
      <c r="B63" s="2" t="s">
        <v>119</v>
      </c>
      <c r="C63" s="2" t="s">
        <v>11</v>
      </c>
      <c r="D63" s="2" t="s">
        <v>124</v>
      </c>
      <c r="E63" s="3">
        <f t="shared" si="0"/>
        <v>67</v>
      </c>
    </row>
    <row r="64" spans="1:5">
      <c r="A64" s="2" t="s">
        <v>117</v>
      </c>
      <c r="B64" s="2" t="s">
        <v>119</v>
      </c>
      <c r="C64" s="2" t="s">
        <v>11</v>
      </c>
      <c r="D64" s="1" t="s">
        <v>266</v>
      </c>
      <c r="E64" s="3">
        <f t="shared" si="0"/>
        <v>66</v>
      </c>
    </row>
    <row r="65" spans="1:5">
      <c r="A65" s="2" t="s">
        <v>117</v>
      </c>
      <c r="B65" s="2" t="s">
        <v>119</v>
      </c>
      <c r="C65" s="2" t="s">
        <v>11</v>
      </c>
      <c r="D65" s="5" t="s">
        <v>125</v>
      </c>
      <c r="E65" s="3">
        <f t="shared" si="0"/>
        <v>64</v>
      </c>
    </row>
    <row r="66" spans="1:5">
      <c r="A66" s="2" t="s">
        <v>117</v>
      </c>
      <c r="B66" s="2" t="s">
        <v>119</v>
      </c>
      <c r="C66" s="2" t="s">
        <v>11</v>
      </c>
      <c r="D66" s="1" t="s">
        <v>267</v>
      </c>
      <c r="E66" s="3">
        <f t="shared" si="0"/>
        <v>65</v>
      </c>
    </row>
    <row r="67" spans="1:5">
      <c r="A67" s="2" t="s">
        <v>117</v>
      </c>
      <c r="B67" s="2" t="s">
        <v>119</v>
      </c>
      <c r="C67" s="2" t="s">
        <v>23</v>
      </c>
      <c r="D67" s="5" t="s">
        <v>122</v>
      </c>
      <c r="E67" s="3">
        <f t="shared" si="0"/>
        <v>66</v>
      </c>
    </row>
    <row r="68" spans="1:5">
      <c r="A68" s="2" t="s">
        <v>117</v>
      </c>
      <c r="B68" s="2" t="s">
        <v>119</v>
      </c>
      <c r="C68" s="2" t="s">
        <v>23</v>
      </c>
      <c r="D68" s="5" t="s">
        <v>120</v>
      </c>
      <c r="E68" s="3">
        <f t="shared" si="0"/>
        <v>64</v>
      </c>
    </row>
    <row r="69" spans="1:5">
      <c r="A69" s="2" t="s">
        <v>117</v>
      </c>
      <c r="B69" s="2" t="s">
        <v>119</v>
      </c>
      <c r="C69" s="2" t="s">
        <v>23</v>
      </c>
      <c r="D69" s="5" t="s">
        <v>121</v>
      </c>
      <c r="E69" s="3">
        <f t="shared" si="0"/>
        <v>61</v>
      </c>
    </row>
    <row r="70" spans="1:5">
      <c r="A70" s="2" t="s">
        <v>117</v>
      </c>
      <c r="B70" s="2" t="s">
        <v>119</v>
      </c>
      <c r="C70" s="2" t="s">
        <v>23</v>
      </c>
      <c r="D70" s="1" t="s">
        <v>268</v>
      </c>
      <c r="E70" s="3">
        <f t="shared" si="0"/>
        <v>61</v>
      </c>
    </row>
    <row r="71" spans="1:5">
      <c r="A71" s="2" t="s">
        <v>117</v>
      </c>
      <c r="B71" s="2" t="s">
        <v>119</v>
      </c>
      <c r="C71" s="2" t="s">
        <v>23</v>
      </c>
      <c r="D71" s="1" t="s">
        <v>269</v>
      </c>
      <c r="E71" s="3">
        <f t="shared" si="0"/>
        <v>58</v>
      </c>
    </row>
    <row r="72" spans="1:5">
      <c r="A72" s="2" t="s">
        <v>117</v>
      </c>
      <c r="B72" s="2" t="s">
        <v>119</v>
      </c>
      <c r="C72" s="2" t="s">
        <v>15</v>
      </c>
      <c r="D72" s="2" t="s">
        <v>128</v>
      </c>
      <c r="E72" s="3">
        <f t="shared" si="0"/>
        <v>67</v>
      </c>
    </row>
    <row r="73" spans="1:5">
      <c r="A73" s="2" t="s">
        <v>117</v>
      </c>
      <c r="B73" s="2" t="s">
        <v>119</v>
      </c>
      <c r="C73" s="2" t="s">
        <v>15</v>
      </c>
      <c r="D73" s="2" t="s">
        <v>126</v>
      </c>
      <c r="E73" s="3">
        <f t="shared" si="0"/>
        <v>63</v>
      </c>
    </row>
    <row r="74" spans="1:5">
      <c r="A74" s="2" t="s">
        <v>117</v>
      </c>
      <c r="B74" s="2" t="s">
        <v>119</v>
      </c>
      <c r="C74" s="2" t="s">
        <v>15</v>
      </c>
      <c r="D74" s="1" t="s">
        <v>270</v>
      </c>
      <c r="E74" s="3">
        <f t="shared" si="0"/>
        <v>60</v>
      </c>
    </row>
    <row r="75" spans="1:5">
      <c r="A75" s="2" t="s">
        <v>117</v>
      </c>
      <c r="B75" s="2" t="s">
        <v>119</v>
      </c>
      <c r="C75" s="2" t="s">
        <v>15</v>
      </c>
      <c r="D75" s="2" t="s">
        <v>127</v>
      </c>
      <c r="E75" s="3">
        <f t="shared" si="0"/>
        <v>60</v>
      </c>
    </row>
    <row r="76" spans="1:5">
      <c r="A76" s="2" t="s">
        <v>117</v>
      </c>
      <c r="B76" s="2" t="s">
        <v>119</v>
      </c>
      <c r="C76" s="2" t="s">
        <v>15</v>
      </c>
      <c r="D76" s="1" t="s">
        <v>271</v>
      </c>
      <c r="E76" s="3">
        <f t="shared" si="0"/>
        <v>55</v>
      </c>
    </row>
    <row r="77" spans="1:5">
      <c r="A77" s="2" t="s">
        <v>117</v>
      </c>
      <c r="B77" s="2" t="s">
        <v>119</v>
      </c>
      <c r="C77" s="2" t="s">
        <v>19</v>
      </c>
      <c r="D77" s="2" t="s">
        <v>272</v>
      </c>
      <c r="E77" s="3">
        <f t="shared" si="0"/>
        <v>70</v>
      </c>
    </row>
    <row r="78" spans="1:5">
      <c r="A78" s="2" t="s">
        <v>117</v>
      </c>
      <c r="B78" s="2" t="s">
        <v>119</v>
      </c>
      <c r="C78" s="2" t="s">
        <v>19</v>
      </c>
      <c r="D78" s="1" t="s">
        <v>273</v>
      </c>
      <c r="E78" s="3">
        <f t="shared" si="0"/>
        <v>64</v>
      </c>
    </row>
    <row r="79" spans="1:5">
      <c r="A79" s="2" t="s">
        <v>117</v>
      </c>
      <c r="B79" s="2" t="s">
        <v>119</v>
      </c>
      <c r="C79" s="2" t="s">
        <v>19</v>
      </c>
      <c r="D79" s="1" t="s">
        <v>274</v>
      </c>
      <c r="E79" s="3">
        <f t="shared" si="0"/>
        <v>55</v>
      </c>
    </row>
    <row r="80" spans="1:5">
      <c r="A80" s="2" t="s">
        <v>117</v>
      </c>
      <c r="B80" s="2" t="s">
        <v>119</v>
      </c>
      <c r="C80" s="2" t="s">
        <v>19</v>
      </c>
      <c r="D80" s="5" t="s">
        <v>129</v>
      </c>
      <c r="E80" s="3">
        <f t="shared" si="0"/>
        <v>62</v>
      </c>
    </row>
    <row r="81" spans="1:5">
      <c r="A81" s="2" t="s">
        <v>117</v>
      </c>
      <c r="B81" s="2" t="s">
        <v>119</v>
      </c>
      <c r="C81" s="2" t="s">
        <v>19</v>
      </c>
      <c r="D81" s="2" t="s">
        <v>131</v>
      </c>
      <c r="E81" s="3">
        <f t="shared" si="0"/>
        <v>62</v>
      </c>
    </row>
    <row r="82" spans="1:5">
      <c r="A82" s="2" t="s">
        <v>57</v>
      </c>
      <c r="B82" s="2" t="s">
        <v>59</v>
      </c>
      <c r="C82" s="2" t="s">
        <v>11</v>
      </c>
      <c r="D82" s="2" t="s">
        <v>64</v>
      </c>
      <c r="E82" s="3">
        <f t="shared" si="0"/>
        <v>64</v>
      </c>
    </row>
    <row r="83" spans="1:5">
      <c r="A83" s="2" t="s">
        <v>57</v>
      </c>
      <c r="B83" s="2" t="s">
        <v>59</v>
      </c>
      <c r="C83" s="2" t="s">
        <v>11</v>
      </c>
      <c r="D83" s="2" t="s">
        <v>65</v>
      </c>
      <c r="E83" s="3">
        <f t="shared" si="0"/>
        <v>60</v>
      </c>
    </row>
    <row r="84" spans="1:5">
      <c r="A84" s="2" t="s">
        <v>57</v>
      </c>
      <c r="B84" s="2" t="s">
        <v>59</v>
      </c>
      <c r="C84" s="2" t="s">
        <v>11</v>
      </c>
      <c r="D84" s="2" t="s">
        <v>63</v>
      </c>
      <c r="E84" s="3">
        <f t="shared" si="0"/>
        <v>59</v>
      </c>
    </row>
    <row r="85" spans="1:5">
      <c r="A85" s="2" t="s">
        <v>57</v>
      </c>
      <c r="B85" s="2" t="s">
        <v>59</v>
      </c>
      <c r="C85" s="2" t="s">
        <v>11</v>
      </c>
      <c r="D85" s="1" t="s">
        <v>275</v>
      </c>
      <c r="E85" s="3">
        <f t="shared" si="0"/>
        <v>61</v>
      </c>
    </row>
    <row r="86" spans="1:5">
      <c r="A86" s="2" t="s">
        <v>57</v>
      </c>
      <c r="B86" s="2" t="s">
        <v>59</v>
      </c>
      <c r="C86" s="2" t="s">
        <v>11</v>
      </c>
      <c r="D86" s="1" t="s">
        <v>276</v>
      </c>
      <c r="E86" s="3">
        <f t="shared" si="0"/>
        <v>55</v>
      </c>
    </row>
    <row r="87" spans="1:5">
      <c r="A87" s="2" t="s">
        <v>57</v>
      </c>
      <c r="B87" s="2" t="s">
        <v>59</v>
      </c>
      <c r="C87" s="2" t="s">
        <v>23</v>
      </c>
      <c r="D87" s="1" t="s">
        <v>277</v>
      </c>
      <c r="E87" s="3">
        <f t="shared" si="0"/>
        <v>66</v>
      </c>
    </row>
    <row r="88" spans="1:5">
      <c r="A88" s="2" t="s">
        <v>57</v>
      </c>
      <c r="B88" s="2" t="s">
        <v>59</v>
      </c>
      <c r="C88" s="2" t="s">
        <v>23</v>
      </c>
      <c r="D88" s="2" t="s">
        <v>62</v>
      </c>
      <c r="E88" s="3">
        <f t="shared" si="0"/>
        <v>63</v>
      </c>
    </row>
    <row r="89" spans="1:5">
      <c r="A89" s="2" t="s">
        <v>57</v>
      </c>
      <c r="B89" s="2" t="s">
        <v>59</v>
      </c>
      <c r="C89" s="2" t="s">
        <v>23</v>
      </c>
      <c r="D89" s="2" t="s">
        <v>60</v>
      </c>
      <c r="E89" s="3">
        <f t="shared" si="0"/>
        <v>62</v>
      </c>
    </row>
    <row r="90" spans="1:5">
      <c r="A90" s="2" t="s">
        <v>57</v>
      </c>
      <c r="B90" s="2" t="s">
        <v>59</v>
      </c>
      <c r="C90" s="2" t="s">
        <v>23</v>
      </c>
      <c r="D90" s="2" t="s">
        <v>61</v>
      </c>
      <c r="E90" s="3">
        <f t="shared" si="0"/>
        <v>62</v>
      </c>
    </row>
    <row r="91" spans="1:5">
      <c r="A91" s="2" t="s">
        <v>57</v>
      </c>
      <c r="B91" s="2" t="s">
        <v>59</v>
      </c>
      <c r="C91" s="2" t="s">
        <v>23</v>
      </c>
      <c r="D91" s="1" t="s">
        <v>278</v>
      </c>
      <c r="E91" s="3">
        <f t="shared" si="0"/>
        <v>57</v>
      </c>
    </row>
    <row r="92" spans="1:5">
      <c r="A92" s="2" t="s">
        <v>57</v>
      </c>
      <c r="B92" s="2" t="s">
        <v>59</v>
      </c>
      <c r="C92" s="2" t="s">
        <v>15</v>
      </c>
      <c r="D92" s="1" t="s">
        <v>279</v>
      </c>
      <c r="E92" s="3">
        <f t="shared" si="0"/>
        <v>68</v>
      </c>
    </row>
    <row r="93" spans="1:5">
      <c r="A93" s="2" t="s">
        <v>57</v>
      </c>
      <c r="B93" s="2" t="s">
        <v>59</v>
      </c>
      <c r="C93" s="2" t="s">
        <v>15</v>
      </c>
      <c r="D93" s="2" t="s">
        <v>66</v>
      </c>
      <c r="E93" s="3">
        <f t="shared" si="0"/>
        <v>66</v>
      </c>
    </row>
    <row r="94" spans="1:5">
      <c r="A94" s="2" t="s">
        <v>57</v>
      </c>
      <c r="B94" s="2" t="s">
        <v>59</v>
      </c>
      <c r="C94" s="2" t="s">
        <v>15</v>
      </c>
      <c r="D94" s="2" t="s">
        <v>67</v>
      </c>
      <c r="E94" s="3">
        <f t="shared" si="0"/>
        <v>66</v>
      </c>
    </row>
    <row r="95" spans="1:5">
      <c r="A95" s="2" t="s">
        <v>57</v>
      </c>
      <c r="B95" s="2" t="s">
        <v>59</v>
      </c>
      <c r="C95" s="2" t="s">
        <v>15</v>
      </c>
      <c r="D95" s="2" t="s">
        <v>68</v>
      </c>
      <c r="E95" s="3">
        <f t="shared" si="0"/>
        <v>66</v>
      </c>
    </row>
    <row r="96" spans="1:5">
      <c r="A96" s="2" t="s">
        <v>57</v>
      </c>
      <c r="B96" s="2" t="s">
        <v>59</v>
      </c>
      <c r="C96" s="2" t="s">
        <v>15</v>
      </c>
      <c r="D96" s="1" t="s">
        <v>280</v>
      </c>
      <c r="E96" s="3">
        <f t="shared" si="0"/>
        <v>57</v>
      </c>
    </row>
    <row r="97" spans="1:5">
      <c r="A97" s="2" t="s">
        <v>57</v>
      </c>
      <c r="B97" s="2" t="s">
        <v>59</v>
      </c>
      <c r="C97" s="2" t="s">
        <v>19</v>
      </c>
      <c r="D97" s="2" t="s">
        <v>69</v>
      </c>
      <c r="E97" s="3">
        <f t="shared" si="0"/>
        <v>67</v>
      </c>
    </row>
    <row r="98" spans="1:5">
      <c r="A98" s="2" t="s">
        <v>57</v>
      </c>
      <c r="B98" s="2" t="s">
        <v>59</v>
      </c>
      <c r="C98" s="2" t="s">
        <v>19</v>
      </c>
      <c r="D98" s="2" t="s">
        <v>71</v>
      </c>
      <c r="E98" s="3">
        <f t="shared" si="0"/>
        <v>65</v>
      </c>
    </row>
    <row r="99" spans="1:5">
      <c r="A99" s="2" t="s">
        <v>57</v>
      </c>
      <c r="B99" s="2" t="s">
        <v>59</v>
      </c>
      <c r="C99" s="2" t="s">
        <v>19</v>
      </c>
      <c r="D99" s="2" t="s">
        <v>70</v>
      </c>
      <c r="E99" s="3">
        <f t="shared" si="0"/>
        <v>63</v>
      </c>
    </row>
    <row r="100" spans="1:5">
      <c r="A100" s="2" t="s">
        <v>57</v>
      </c>
      <c r="B100" s="2" t="s">
        <v>59</v>
      </c>
      <c r="C100" s="2" t="s">
        <v>19</v>
      </c>
      <c r="D100" s="1" t="s">
        <v>281</v>
      </c>
      <c r="E100" s="3">
        <f t="shared" si="0"/>
        <v>63</v>
      </c>
    </row>
    <row r="101" spans="1:5">
      <c r="A101" s="2" t="s">
        <v>57</v>
      </c>
      <c r="B101" s="2" t="s">
        <v>59</v>
      </c>
      <c r="C101" s="2" t="s">
        <v>19</v>
      </c>
      <c r="D101" s="1" t="s">
        <v>282</v>
      </c>
      <c r="E101" s="3">
        <f t="shared" si="0"/>
        <v>60</v>
      </c>
    </row>
    <row r="102" spans="1:5">
      <c r="A102" s="2" t="s">
        <v>8</v>
      </c>
      <c r="B102" s="2" t="s">
        <v>10</v>
      </c>
      <c r="C102" s="2" t="s">
        <v>11</v>
      </c>
      <c r="D102" s="2" t="s">
        <v>12</v>
      </c>
      <c r="E102" s="3">
        <f t="shared" si="0"/>
        <v>57</v>
      </c>
    </row>
    <row r="103" spans="1:5">
      <c r="A103" s="2" t="s">
        <v>8</v>
      </c>
      <c r="B103" s="2" t="s">
        <v>10</v>
      </c>
      <c r="C103" s="2" t="s">
        <v>11</v>
      </c>
      <c r="D103" s="1" t="s">
        <v>283</v>
      </c>
      <c r="E103" s="3">
        <f t="shared" si="0"/>
        <v>54</v>
      </c>
    </row>
    <row r="104" spans="1:5">
      <c r="A104" s="2" t="s">
        <v>8</v>
      </c>
      <c r="B104" s="2" t="s">
        <v>10</v>
      </c>
      <c r="C104" s="2" t="s">
        <v>11</v>
      </c>
      <c r="D104" s="2" t="s">
        <v>14</v>
      </c>
      <c r="E104" s="3">
        <f t="shared" si="0"/>
        <v>53</v>
      </c>
    </row>
    <row r="105" spans="1:5">
      <c r="A105" s="2" t="s">
        <v>8</v>
      </c>
      <c r="B105" s="2" t="s">
        <v>10</v>
      </c>
      <c r="C105" s="2" t="s">
        <v>11</v>
      </c>
      <c r="D105" s="2" t="s">
        <v>13</v>
      </c>
      <c r="E105" s="3">
        <f t="shared" si="0"/>
        <v>52</v>
      </c>
    </row>
    <row r="106" spans="1:5">
      <c r="A106" s="2" t="s">
        <v>8</v>
      </c>
      <c r="B106" s="2" t="s">
        <v>10</v>
      </c>
      <c r="C106" s="2" t="s">
        <v>11</v>
      </c>
      <c r="D106" s="1" t="s">
        <v>284</v>
      </c>
      <c r="E106" s="3">
        <f t="shared" si="0"/>
        <v>51</v>
      </c>
    </row>
    <row r="107" spans="1:5">
      <c r="A107" s="2" t="s">
        <v>8</v>
      </c>
      <c r="B107" s="2" t="s">
        <v>10</v>
      </c>
      <c r="C107" s="2" t="s">
        <v>23</v>
      </c>
      <c r="D107" s="1" t="s">
        <v>285</v>
      </c>
      <c r="E107" s="3">
        <f t="shared" si="0"/>
        <v>59</v>
      </c>
    </row>
    <row r="108" spans="1:5">
      <c r="A108" s="2" t="s">
        <v>8</v>
      </c>
      <c r="B108" s="2" t="s">
        <v>10</v>
      </c>
      <c r="C108" s="2" t="s">
        <v>23</v>
      </c>
      <c r="D108" s="2" t="s">
        <v>24</v>
      </c>
      <c r="E108" s="3">
        <f t="shared" si="0"/>
        <v>57</v>
      </c>
    </row>
    <row r="109" spans="1:5">
      <c r="A109" s="2" t="s">
        <v>8</v>
      </c>
      <c r="B109" s="2" t="s">
        <v>10</v>
      </c>
      <c r="C109" s="2" t="s">
        <v>23</v>
      </c>
      <c r="D109" s="2" t="s">
        <v>25</v>
      </c>
      <c r="E109" s="3">
        <f t="shared" si="0"/>
        <v>56</v>
      </c>
    </row>
    <row r="110" spans="1:5">
      <c r="A110" s="2" t="s">
        <v>8</v>
      </c>
      <c r="B110" s="2" t="s">
        <v>10</v>
      </c>
      <c r="C110" s="2" t="s">
        <v>23</v>
      </c>
      <c r="D110" s="2" t="s">
        <v>26</v>
      </c>
      <c r="E110" s="3">
        <f t="shared" si="0"/>
        <v>56</v>
      </c>
    </row>
    <row r="111" spans="1:5">
      <c r="A111" s="2" t="s">
        <v>8</v>
      </c>
      <c r="B111" s="2" t="s">
        <v>10</v>
      </c>
      <c r="C111" s="2" t="s">
        <v>23</v>
      </c>
      <c r="D111" s="1" t="s">
        <v>286</v>
      </c>
      <c r="E111" s="3">
        <f t="shared" si="0"/>
        <v>54</v>
      </c>
    </row>
    <row r="112" spans="1:5">
      <c r="A112" s="2" t="s">
        <v>8</v>
      </c>
      <c r="B112" s="2" t="s">
        <v>10</v>
      </c>
      <c r="C112" s="2" t="s">
        <v>15</v>
      </c>
      <c r="D112" s="2" t="s">
        <v>17</v>
      </c>
      <c r="E112" s="3">
        <f t="shared" si="0"/>
        <v>57</v>
      </c>
    </row>
    <row r="113" spans="1:5">
      <c r="A113" s="2" t="s">
        <v>8</v>
      </c>
      <c r="B113" s="2" t="s">
        <v>10</v>
      </c>
      <c r="C113" s="2" t="s">
        <v>15</v>
      </c>
      <c r="D113" s="2" t="s">
        <v>18</v>
      </c>
      <c r="E113" s="3">
        <f t="shared" si="0"/>
        <v>57</v>
      </c>
    </row>
    <row r="114" spans="1:5">
      <c r="A114" s="2" t="s">
        <v>8</v>
      </c>
      <c r="B114" s="2" t="s">
        <v>10</v>
      </c>
      <c r="C114" s="2" t="s">
        <v>15</v>
      </c>
      <c r="D114" s="1" t="s">
        <v>287</v>
      </c>
      <c r="E114" s="3">
        <f t="shared" si="0"/>
        <v>57</v>
      </c>
    </row>
    <row r="115" spans="1:5">
      <c r="A115" s="2" t="s">
        <v>8</v>
      </c>
      <c r="B115" s="2" t="s">
        <v>10</v>
      </c>
      <c r="C115" s="2" t="s">
        <v>15</v>
      </c>
      <c r="D115" s="2" t="s">
        <v>16</v>
      </c>
      <c r="E115" s="3">
        <f t="shared" si="0"/>
        <v>56</v>
      </c>
    </row>
    <row r="116" spans="1:5">
      <c r="A116" s="2" t="s">
        <v>8</v>
      </c>
      <c r="B116" s="2" t="s">
        <v>10</v>
      </c>
      <c r="C116" s="2" t="s">
        <v>15</v>
      </c>
      <c r="D116" s="1" t="s">
        <v>288</v>
      </c>
      <c r="E116" s="3">
        <f t="shared" si="0"/>
        <v>56</v>
      </c>
    </row>
    <row r="117" spans="1:5">
      <c r="A117" s="2" t="s">
        <v>8</v>
      </c>
      <c r="B117" s="2" t="s">
        <v>10</v>
      </c>
      <c r="C117" s="2" t="s">
        <v>19</v>
      </c>
      <c r="D117" s="2" t="s">
        <v>22</v>
      </c>
      <c r="E117" s="3">
        <f t="shared" si="0"/>
        <v>59</v>
      </c>
    </row>
    <row r="118" spans="1:5">
      <c r="A118" s="2" t="s">
        <v>8</v>
      </c>
      <c r="B118" s="2" t="s">
        <v>10</v>
      </c>
      <c r="C118" s="2" t="s">
        <v>19</v>
      </c>
      <c r="D118" s="1" t="s">
        <v>289</v>
      </c>
      <c r="E118" s="3">
        <f t="shared" si="0"/>
        <v>57</v>
      </c>
    </row>
    <row r="119" spans="1:5">
      <c r="A119" s="2" t="s">
        <v>8</v>
      </c>
      <c r="B119" s="2" t="s">
        <v>10</v>
      </c>
      <c r="C119" s="2" t="s">
        <v>19</v>
      </c>
      <c r="D119" s="2" t="s">
        <v>21</v>
      </c>
      <c r="E119" s="3">
        <f t="shared" si="0"/>
        <v>56</v>
      </c>
    </row>
    <row r="120" spans="1:5">
      <c r="A120" s="2" t="s">
        <v>8</v>
      </c>
      <c r="B120" s="2" t="s">
        <v>10</v>
      </c>
      <c r="C120" s="2" t="s">
        <v>19</v>
      </c>
      <c r="D120" s="2" t="s">
        <v>20</v>
      </c>
      <c r="E120" s="3">
        <f t="shared" si="0"/>
        <v>54</v>
      </c>
    </row>
    <row r="121" spans="1:5">
      <c r="A121" s="2" t="s">
        <v>8</v>
      </c>
      <c r="B121" s="2" t="s">
        <v>10</v>
      </c>
      <c r="C121" s="2" t="s">
        <v>19</v>
      </c>
      <c r="D121" s="1" t="s">
        <v>290</v>
      </c>
      <c r="E121" s="3">
        <f t="shared" si="0"/>
        <v>54</v>
      </c>
    </row>
    <row r="122" spans="1:5">
      <c r="A122" s="2" t="s">
        <v>87</v>
      </c>
      <c r="B122" s="2" t="s">
        <v>89</v>
      </c>
      <c r="C122" s="2" t="s">
        <v>11</v>
      </c>
      <c r="D122" s="1" t="s">
        <v>291</v>
      </c>
      <c r="E122" s="3">
        <f t="shared" si="0"/>
        <v>63</v>
      </c>
    </row>
    <row r="123" spans="1:5">
      <c r="A123" s="2" t="s">
        <v>87</v>
      </c>
      <c r="B123" s="2" t="s">
        <v>89</v>
      </c>
      <c r="C123" s="2" t="s">
        <v>11</v>
      </c>
      <c r="D123" s="2" t="s">
        <v>98</v>
      </c>
      <c r="E123" s="3">
        <f t="shared" si="0"/>
        <v>62</v>
      </c>
    </row>
    <row r="124" spans="1:5">
      <c r="A124" s="2" t="s">
        <v>87</v>
      </c>
      <c r="B124" s="2" t="s">
        <v>89</v>
      </c>
      <c r="C124" s="2" t="s">
        <v>11</v>
      </c>
      <c r="D124" s="2" t="s">
        <v>97</v>
      </c>
      <c r="E124" s="3">
        <f t="shared" si="0"/>
        <v>60</v>
      </c>
    </row>
    <row r="125" spans="1:5">
      <c r="A125" s="2" t="s">
        <v>87</v>
      </c>
      <c r="B125" s="2" t="s">
        <v>89</v>
      </c>
      <c r="C125" s="2" t="s">
        <v>11</v>
      </c>
      <c r="D125" s="2" t="s">
        <v>96</v>
      </c>
      <c r="E125" s="3">
        <f t="shared" si="0"/>
        <v>57</v>
      </c>
    </row>
    <row r="126" spans="1:5">
      <c r="A126" s="2" t="s">
        <v>87</v>
      </c>
      <c r="B126" s="2" t="s">
        <v>89</v>
      </c>
      <c r="C126" s="2" t="s">
        <v>11</v>
      </c>
      <c r="D126" s="1" t="s">
        <v>292</v>
      </c>
      <c r="E126" s="3">
        <f t="shared" si="0"/>
        <v>52</v>
      </c>
    </row>
    <row r="127" spans="1:5">
      <c r="A127" s="2" t="s">
        <v>87</v>
      </c>
      <c r="B127" s="2" t="s">
        <v>89</v>
      </c>
      <c r="C127" s="2" t="s">
        <v>23</v>
      </c>
      <c r="D127" s="1" t="s">
        <v>293</v>
      </c>
      <c r="E127" s="3">
        <f t="shared" si="0"/>
        <v>67</v>
      </c>
    </row>
    <row r="128" spans="1:5">
      <c r="A128" s="2" t="s">
        <v>87</v>
      </c>
      <c r="B128" s="2" t="s">
        <v>89</v>
      </c>
      <c r="C128" s="2" t="s">
        <v>23</v>
      </c>
      <c r="D128" s="2" t="s">
        <v>94</v>
      </c>
      <c r="E128" s="3">
        <f t="shared" si="0"/>
        <v>65</v>
      </c>
    </row>
    <row r="129" spans="1:5">
      <c r="A129" s="2" t="s">
        <v>87</v>
      </c>
      <c r="B129" s="2" t="s">
        <v>89</v>
      </c>
      <c r="C129" s="2" t="s">
        <v>23</v>
      </c>
      <c r="D129" s="2" t="s">
        <v>95</v>
      </c>
      <c r="E129" s="3">
        <f t="shared" si="0"/>
        <v>62</v>
      </c>
    </row>
    <row r="130" spans="1:5">
      <c r="A130" s="2" t="s">
        <v>87</v>
      </c>
      <c r="B130" s="2" t="s">
        <v>89</v>
      </c>
      <c r="C130" s="2" t="s">
        <v>23</v>
      </c>
      <c r="D130" s="2" t="s">
        <v>93</v>
      </c>
      <c r="E130" s="3">
        <f t="shared" si="0"/>
        <v>61</v>
      </c>
    </row>
    <row r="131" spans="1:5">
      <c r="A131" s="2" t="s">
        <v>87</v>
      </c>
      <c r="B131" s="2" t="s">
        <v>89</v>
      </c>
      <c r="C131" s="2" t="s">
        <v>23</v>
      </c>
      <c r="D131" s="1" t="s">
        <v>294</v>
      </c>
      <c r="E131" s="3">
        <f t="shared" si="0"/>
        <v>58</v>
      </c>
    </row>
    <row r="132" spans="1:5">
      <c r="A132" s="2" t="s">
        <v>87</v>
      </c>
      <c r="B132" s="2" t="s">
        <v>89</v>
      </c>
      <c r="C132" s="2" t="s">
        <v>15</v>
      </c>
      <c r="D132" s="2" t="s">
        <v>99</v>
      </c>
      <c r="E132" s="3">
        <f t="shared" si="0"/>
        <v>66</v>
      </c>
    </row>
    <row r="133" spans="1:5">
      <c r="A133" s="2" t="s">
        <v>87</v>
      </c>
      <c r="B133" s="2" t="s">
        <v>89</v>
      </c>
      <c r="C133" s="2" t="s">
        <v>15</v>
      </c>
      <c r="D133" s="2" t="s">
        <v>101</v>
      </c>
      <c r="E133" s="3">
        <f t="shared" si="0"/>
        <v>65</v>
      </c>
    </row>
    <row r="134" spans="1:5">
      <c r="A134" s="2" t="s">
        <v>87</v>
      </c>
      <c r="B134" s="2" t="s">
        <v>89</v>
      </c>
      <c r="C134" s="2" t="s">
        <v>15</v>
      </c>
      <c r="D134" s="1" t="s">
        <v>295</v>
      </c>
      <c r="E134" s="3">
        <f t="shared" si="0"/>
        <v>58</v>
      </c>
    </row>
    <row r="135" spans="1:5">
      <c r="A135" s="2" t="s">
        <v>87</v>
      </c>
      <c r="B135" s="2" t="s">
        <v>89</v>
      </c>
      <c r="C135" s="2" t="s">
        <v>15</v>
      </c>
      <c r="D135" s="2" t="s">
        <v>100</v>
      </c>
      <c r="E135" s="3">
        <f t="shared" si="0"/>
        <v>61</v>
      </c>
    </row>
    <row r="136" spans="1:5">
      <c r="A136" s="2" t="s">
        <v>87</v>
      </c>
      <c r="B136" s="2" t="s">
        <v>89</v>
      </c>
      <c r="C136" s="2" t="s">
        <v>15</v>
      </c>
      <c r="D136" s="1" t="s">
        <v>296</v>
      </c>
      <c r="E136" s="3">
        <f t="shared" si="0"/>
        <v>61</v>
      </c>
    </row>
    <row r="137" spans="1:5">
      <c r="A137" s="2" t="s">
        <v>87</v>
      </c>
      <c r="B137" s="2" t="s">
        <v>89</v>
      </c>
      <c r="C137" s="2" t="s">
        <v>19</v>
      </c>
      <c r="D137" s="2" t="s">
        <v>92</v>
      </c>
      <c r="E137" s="3">
        <f t="shared" si="0"/>
        <v>66</v>
      </c>
    </row>
    <row r="138" spans="1:5">
      <c r="A138" s="2" t="s">
        <v>87</v>
      </c>
      <c r="B138" s="2" t="s">
        <v>89</v>
      </c>
      <c r="C138" s="2" t="s">
        <v>19</v>
      </c>
      <c r="D138" s="1" t="s">
        <v>297</v>
      </c>
      <c r="E138" s="3">
        <f t="shared" si="0"/>
        <v>66</v>
      </c>
    </row>
    <row r="139" spans="1:5">
      <c r="A139" s="2" t="s">
        <v>87</v>
      </c>
      <c r="B139" s="2" t="s">
        <v>89</v>
      </c>
      <c r="C139" s="2" t="s">
        <v>19</v>
      </c>
      <c r="D139" s="2" t="s">
        <v>90</v>
      </c>
      <c r="E139" s="3">
        <f t="shared" si="0"/>
        <v>62</v>
      </c>
    </row>
    <row r="140" spans="1:5">
      <c r="A140" s="2" t="s">
        <v>87</v>
      </c>
      <c r="B140" s="2" t="s">
        <v>89</v>
      </c>
      <c r="C140" s="2" t="s">
        <v>19</v>
      </c>
      <c r="D140" s="2" t="s">
        <v>91</v>
      </c>
      <c r="E140" s="3">
        <f t="shared" si="0"/>
        <v>62</v>
      </c>
    </row>
    <row r="141" spans="1:5">
      <c r="A141" s="2" t="s">
        <v>87</v>
      </c>
      <c r="B141" s="2" t="s">
        <v>89</v>
      </c>
      <c r="C141" s="2" t="s">
        <v>19</v>
      </c>
      <c r="D141" s="1" t="s">
        <v>298</v>
      </c>
      <c r="E141" s="3">
        <f t="shared" si="0"/>
        <v>59</v>
      </c>
    </row>
    <row r="142" spans="1:5">
      <c r="A142" s="2" t="s">
        <v>42</v>
      </c>
      <c r="B142" s="2" t="s">
        <v>44</v>
      </c>
      <c r="C142" s="2" t="s">
        <v>11</v>
      </c>
      <c r="D142" s="1" t="s">
        <v>299</v>
      </c>
      <c r="E142" s="3">
        <f t="shared" si="0"/>
        <v>67</v>
      </c>
    </row>
    <row r="143" spans="1:5">
      <c r="A143" s="2" t="s">
        <v>42</v>
      </c>
      <c r="B143" s="2" t="s">
        <v>44</v>
      </c>
      <c r="C143" s="2" t="s">
        <v>11</v>
      </c>
      <c r="D143" s="1" t="s">
        <v>300</v>
      </c>
      <c r="E143" s="3">
        <f t="shared" si="0"/>
        <v>67</v>
      </c>
    </row>
    <row r="144" spans="1:5">
      <c r="A144" s="2" t="s">
        <v>42</v>
      </c>
      <c r="B144" s="2" t="s">
        <v>44</v>
      </c>
      <c r="C144" s="2" t="s">
        <v>11</v>
      </c>
      <c r="D144" s="2" t="s">
        <v>51</v>
      </c>
      <c r="E144" s="3">
        <f t="shared" si="0"/>
        <v>62</v>
      </c>
    </row>
    <row r="145" spans="1:5">
      <c r="A145" s="2" t="s">
        <v>42</v>
      </c>
      <c r="B145" s="2" t="s">
        <v>44</v>
      </c>
      <c r="C145" s="2" t="s">
        <v>11</v>
      </c>
      <c r="D145" s="2" t="s">
        <v>53</v>
      </c>
      <c r="E145" s="3">
        <f t="shared" si="0"/>
        <v>62</v>
      </c>
    </row>
    <row r="146" spans="1:5">
      <c r="A146" s="2" t="s">
        <v>42</v>
      </c>
      <c r="B146" s="2" t="s">
        <v>44</v>
      </c>
      <c r="C146" s="2" t="s">
        <v>11</v>
      </c>
      <c r="D146" s="2" t="s">
        <v>52</v>
      </c>
      <c r="E146" s="3">
        <f t="shared" si="0"/>
        <v>58</v>
      </c>
    </row>
    <row r="147" spans="1:5">
      <c r="A147" s="2" t="s">
        <v>42</v>
      </c>
      <c r="B147" s="2" t="s">
        <v>44</v>
      </c>
      <c r="C147" s="2" t="s">
        <v>23</v>
      </c>
      <c r="D147" s="2" t="s">
        <v>49</v>
      </c>
      <c r="E147" s="3">
        <f t="shared" si="0"/>
        <v>63</v>
      </c>
    </row>
    <row r="148" spans="1:5">
      <c r="A148" s="2" t="s">
        <v>42</v>
      </c>
      <c r="B148" s="2" t="s">
        <v>44</v>
      </c>
      <c r="C148" s="2" t="s">
        <v>23</v>
      </c>
      <c r="D148" s="2" t="s">
        <v>50</v>
      </c>
      <c r="E148" s="3">
        <f t="shared" si="0"/>
        <v>62</v>
      </c>
    </row>
    <row r="149" spans="1:5">
      <c r="A149" s="2" t="s">
        <v>42</v>
      </c>
      <c r="B149" s="2" t="s">
        <v>44</v>
      </c>
      <c r="C149" s="2" t="s">
        <v>23</v>
      </c>
      <c r="D149" s="2" t="s">
        <v>48</v>
      </c>
      <c r="E149" s="3">
        <f t="shared" si="0"/>
        <v>61</v>
      </c>
    </row>
    <row r="150" spans="1:5">
      <c r="A150" s="2" t="s">
        <v>42</v>
      </c>
      <c r="B150" s="2" t="s">
        <v>44</v>
      </c>
      <c r="C150" s="2" t="s">
        <v>23</v>
      </c>
      <c r="D150" s="1" t="s">
        <v>301</v>
      </c>
      <c r="E150" s="3">
        <f t="shared" si="0"/>
        <v>61</v>
      </c>
    </row>
    <row r="151" spans="1:5">
      <c r="A151" s="2" t="s">
        <v>42</v>
      </c>
      <c r="B151" s="2" t="s">
        <v>44</v>
      </c>
      <c r="C151" s="2" t="s">
        <v>23</v>
      </c>
      <c r="D151" s="1" t="s">
        <v>302</v>
      </c>
      <c r="E151" s="3">
        <f t="shared" si="0"/>
        <v>59</v>
      </c>
    </row>
    <row r="152" spans="1:5">
      <c r="A152" s="2" t="s">
        <v>42</v>
      </c>
      <c r="B152" s="2" t="s">
        <v>44</v>
      </c>
      <c r="C152" s="2" t="s">
        <v>15</v>
      </c>
      <c r="D152" s="1" t="s">
        <v>303</v>
      </c>
      <c r="E152" s="3">
        <f t="shared" si="0"/>
        <v>67</v>
      </c>
    </row>
    <row r="153" spans="1:5">
      <c r="A153" s="2" t="s">
        <v>42</v>
      </c>
      <c r="B153" s="2" t="s">
        <v>44</v>
      </c>
      <c r="C153" s="2" t="s">
        <v>15</v>
      </c>
      <c r="D153" s="2" t="s">
        <v>54</v>
      </c>
      <c r="E153" s="3">
        <f t="shared" si="0"/>
        <v>65</v>
      </c>
    </row>
    <row r="154" spans="1:5">
      <c r="A154" s="2" t="s">
        <v>42</v>
      </c>
      <c r="B154" s="2" t="s">
        <v>44</v>
      </c>
      <c r="C154" s="2" t="s">
        <v>15</v>
      </c>
      <c r="D154" s="2" t="s">
        <v>55</v>
      </c>
      <c r="E154" s="3">
        <f t="shared" si="0"/>
        <v>65</v>
      </c>
    </row>
    <row r="155" spans="1:5">
      <c r="A155" s="2" t="s">
        <v>42</v>
      </c>
      <c r="B155" s="2" t="s">
        <v>44</v>
      </c>
      <c r="C155" s="2" t="s">
        <v>15</v>
      </c>
      <c r="D155" s="2" t="s">
        <v>56</v>
      </c>
      <c r="E155" s="3">
        <f t="shared" si="0"/>
        <v>64</v>
      </c>
    </row>
    <row r="156" spans="1:5">
      <c r="A156" s="2" t="s">
        <v>42</v>
      </c>
      <c r="B156" s="2" t="s">
        <v>44</v>
      </c>
      <c r="C156" s="2" t="s">
        <v>15</v>
      </c>
      <c r="D156" s="1" t="s">
        <v>304</v>
      </c>
      <c r="E156" s="3">
        <f t="shared" si="0"/>
        <v>61</v>
      </c>
    </row>
    <row r="157" spans="1:5">
      <c r="A157" s="2" t="s">
        <v>42</v>
      </c>
      <c r="B157" s="2" t="s">
        <v>44</v>
      </c>
      <c r="C157" s="2" t="s">
        <v>19</v>
      </c>
      <c r="D157" s="1" t="s">
        <v>305</v>
      </c>
      <c r="E157" s="3">
        <f t="shared" si="0"/>
        <v>67</v>
      </c>
    </row>
    <row r="158" spans="1:5">
      <c r="A158" s="2" t="s">
        <v>42</v>
      </c>
      <c r="B158" s="2" t="s">
        <v>44</v>
      </c>
      <c r="C158" s="2" t="s">
        <v>19</v>
      </c>
      <c r="D158" s="1" t="s">
        <v>306</v>
      </c>
      <c r="E158" s="3">
        <f t="shared" si="0"/>
        <v>67</v>
      </c>
    </row>
    <row r="159" spans="1:5">
      <c r="A159" s="2" t="s">
        <v>42</v>
      </c>
      <c r="B159" s="2" t="s">
        <v>44</v>
      </c>
      <c r="C159" s="2" t="s">
        <v>19</v>
      </c>
      <c r="D159" s="2" t="s">
        <v>45</v>
      </c>
      <c r="E159" s="3">
        <f t="shared" si="0"/>
        <v>63</v>
      </c>
    </row>
    <row r="160" spans="1:5">
      <c r="A160" s="2" t="s">
        <v>42</v>
      </c>
      <c r="B160" s="2" t="s">
        <v>44</v>
      </c>
      <c r="C160" s="2" t="s">
        <v>19</v>
      </c>
      <c r="D160" s="2" t="s">
        <v>47</v>
      </c>
      <c r="E160" s="3">
        <f t="shared" si="0"/>
        <v>62</v>
      </c>
    </row>
    <row r="161" spans="1:5">
      <c r="A161" s="2" t="s">
        <v>42</v>
      </c>
      <c r="B161" s="2" t="s">
        <v>44</v>
      </c>
      <c r="C161" s="2" t="s">
        <v>19</v>
      </c>
      <c r="D161" s="2" t="s">
        <v>46</v>
      </c>
      <c r="E161" s="3">
        <f t="shared" si="0"/>
        <v>57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D5"/>
  <sheetViews>
    <sheetView workbookViewId="0"/>
  </sheetViews>
  <sheetFormatPr baseColWidth="10" defaultColWidth="12.6640625" defaultRowHeight="15.75" customHeight="1"/>
  <sheetData>
    <row r="1" spans="2:4">
      <c r="C1" s="2" t="s">
        <v>132</v>
      </c>
      <c r="D1" s="2" t="s">
        <v>133</v>
      </c>
    </row>
    <row r="2" spans="2:4">
      <c r="B2" s="2" t="s">
        <v>11</v>
      </c>
      <c r="C2" s="6">
        <f>AVERAGE('varying proportions'!E2:E6,'varying proportions'!E22:E26,'varying proportions'!E42:E46,'varying proportions'!E62:E66,'varying proportions'!E82:E86,'varying proportions'!E102:E106,'varying proportions'!E122:E126,'varying proportions'!E142:E146)</f>
        <v>61.125</v>
      </c>
      <c r="D2" s="6">
        <f>STDEV('varying proportions'!E2:E6,'varying proportions'!E22:E26,'varying proportions'!E42:E46,'varying proportions'!E62:E66,'varying proportions'!E82:E86,'varying proportions'!E102:E106,'varying proportions'!E122:E126,'varying proportions'!E142:E146)</f>
        <v>4.5752259296883153</v>
      </c>
    </row>
    <row r="3" spans="2:4">
      <c r="B3" s="2" t="s">
        <v>23</v>
      </c>
      <c r="C3" s="6">
        <f>AVERAGE('varying proportions'!E7:E11,'varying proportions'!E27:E31,'varying proportions'!E47:E51,'varying proportions'!E67:E71,'varying proportions'!E87:E91,'varying proportions'!E107:E111,'varying proportions'!E127:E131,'varying proportions'!E147:E151)</f>
        <v>61.2</v>
      </c>
      <c r="D3" s="6">
        <f>STDEV('varying proportions'!E7:E11,'varying proportions'!E27:E31,'varying proportions'!E47:E51,'varying proportions'!E67:E71,'varying proportions'!E87:E91,'varying proportions'!E107:E111,'varying proportions'!E127:E131,'varying proportions'!E147:E151)</f>
        <v>3.3832164941300826</v>
      </c>
    </row>
    <row r="4" spans="2:4">
      <c r="B4" s="2" t="s">
        <v>15</v>
      </c>
      <c r="C4" s="6">
        <f>AVERAGE('varying proportions'!E12:E16,'varying proportions'!E32:E36,'varying proportions'!E52:E56,'varying proportions'!E72:E76,'varying proportions'!E92:E96,'varying proportions'!E112:E116,'varying proportions'!E132:E136,'varying proportions'!E152:E156)</f>
        <v>61.424999999999997</v>
      </c>
      <c r="D4" s="6">
        <f>STDEV('varying proportions'!E12:E16,'varying proportions'!E32:E36,'varying proportions'!E52:E56,'varying proportions'!E72:E76,'varying proportions'!E92:E96,'varying proportions'!E112:E116,'varying proportions'!E132:E136,'varying proportions'!E152:E156)</f>
        <v>3.7271526218638629</v>
      </c>
    </row>
    <row r="5" spans="2:4">
      <c r="B5" s="2" t="s">
        <v>19</v>
      </c>
      <c r="C5" s="6">
        <f>AVERAGE('varying proportions'!E17:E21,'varying proportions'!E37:E41,'varying proportions'!E57:E61,'varying proportions'!E77:E81,'varying proportions'!E97:E101,'varying proportions'!E117:E121,'varying proportions'!E137:E141,'varying proportions'!E157:E161)</f>
        <v>61.225000000000001</v>
      </c>
      <c r="D5" s="6">
        <f>STDEV('varying proportions'!E17:E21,'varying proportions'!E37:E41,'varying proportions'!E57:E61,'varying proportions'!E77:E81,'varying proportions'!E97:E101,'varying proportions'!E117:E121,'varying proportions'!E137:E141,'varying proportions'!E157:E161)</f>
        <v>4.2152805059200684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casesDDM</vt:lpstr>
      <vt:lpstr>Tabellenblatt2</vt:lpstr>
      <vt:lpstr>Tabellenblatt1</vt:lpstr>
      <vt:lpstr>varying proportions</vt:lpstr>
      <vt:lpstr>Tabellenblatt4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Engelmann, Neele</cp:lastModifiedBy>
  <dcterms:modified xsi:type="dcterms:W3CDTF">2023-10-19T14:17:03Z</dcterms:modified>
</cp:coreProperties>
</file>